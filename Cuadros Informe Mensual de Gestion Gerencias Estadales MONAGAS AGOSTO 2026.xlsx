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2026\INFORME DE GESTIÓN 2026\INFORME DE GESTION AGOSTO 2026\"/>
    </mc:Choice>
  </mc:AlternateContent>
  <xr:revisionPtr revIDLastSave="0" documentId="13_ncr:1_{19D32742-F487-4C35-BAF0-868031788704}" xr6:coauthVersionLast="47" xr6:coauthVersionMax="47" xr10:uidLastSave="{00000000-0000-0000-0000-000000000000}"/>
  <bookViews>
    <workbookView xWindow="-120" yWindow="-120" windowWidth="24240" windowHeight="13290" firstSheet="5" activeTab="8" xr2:uid="{00000000-000D-0000-FFFF-FFFF00000000}"/>
  </bookViews>
  <sheets>
    <sheet name="LA 1.Estadísticas Sociales" sheetId="1" r:id="rId1"/>
    <sheet name="LA 2.Estadísticas Demográficas" sheetId="2" r:id="rId2"/>
    <sheet name="LA 3.Estadísticas Económicas" sheetId="3" r:id="rId3"/>
    <sheet name="LA 4.Estructura SEGEN" sheetId="4" r:id="rId4"/>
    <sheet name="LA 5.Encuestas en el SEGEN" sheetId="6" r:id="rId5"/>
    <sheet name="LA 6.Circuitos Comunales" sheetId="7" r:id="rId6"/>
    <sheet name="LA 8.Capacitacion" sheetId="9" r:id="rId7"/>
    <sheet name="LA 9. Comites Estadales" sheetId="10" r:id="rId8"/>
    <sheet name="LA 10.Gerencia Estadal" sheetId="8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3" l="1"/>
  <c r="L14" i="3"/>
  <c r="O14" i="3"/>
  <c r="N12" i="3"/>
  <c r="B13" i="6" l="1"/>
  <c r="D12" i="1" l="1"/>
  <c r="E14" i="3" l="1"/>
  <c r="N11" i="3"/>
  <c r="K11" i="3"/>
  <c r="D11" i="3"/>
  <c r="B33" i="1"/>
  <c r="J30" i="1"/>
  <c r="D30" i="1"/>
  <c r="B14" i="1"/>
  <c r="J11" i="1"/>
  <c r="D11" i="1"/>
  <c r="I13" i="6"/>
  <c r="H13" i="6"/>
  <c r="G13" i="6"/>
  <c r="F13" i="6"/>
  <c r="E13" i="6"/>
  <c r="D13" i="6"/>
  <c r="C13" i="6"/>
  <c r="F14" i="1"/>
  <c r="G14" i="1"/>
  <c r="H14" i="1"/>
  <c r="I14" i="1"/>
  <c r="E14" i="1"/>
  <c r="D11" i="9" l="1"/>
  <c r="E11" i="9"/>
  <c r="F11" i="9"/>
  <c r="G11" i="9"/>
  <c r="J12" i="1"/>
  <c r="B14" i="3" l="1"/>
  <c r="N10" i="3"/>
  <c r="K10" i="3"/>
  <c r="D10" i="3"/>
  <c r="J29" i="1"/>
  <c r="J31" i="1"/>
  <c r="D29" i="1"/>
  <c r="D31" i="1"/>
  <c r="J10" i="1"/>
  <c r="D10" i="1"/>
  <c r="M14" i="3" l="1"/>
  <c r="D12" i="3"/>
  <c r="N9" i="3"/>
  <c r="K9" i="3"/>
  <c r="D9" i="3"/>
  <c r="I33" i="1"/>
  <c r="H33" i="1"/>
  <c r="G33" i="1"/>
  <c r="F33" i="1"/>
  <c r="E33" i="1"/>
  <c r="C33" i="1"/>
  <c r="C14" i="1"/>
  <c r="C11" i="9"/>
  <c r="D28" i="1" l="1"/>
  <c r="G14" i="3" l="1"/>
  <c r="I14" i="3"/>
  <c r="J14" i="3"/>
  <c r="C14" i="3"/>
  <c r="K12" i="3"/>
  <c r="J28" i="1"/>
  <c r="D9" i="1"/>
  <c r="J9" i="1"/>
  <c r="J27" i="1" l="1"/>
  <c r="D27" i="1"/>
  <c r="J8" i="1"/>
  <c r="D8" i="1"/>
  <c r="N8" i="3" l="1"/>
  <c r="K8" i="3"/>
  <c r="D8" i="3"/>
  <c r="J26" i="1" l="1"/>
  <c r="D26" i="1"/>
  <c r="J7" i="1"/>
  <c r="D7" i="1"/>
  <c r="N7" i="3" l="1"/>
  <c r="K7" i="3"/>
  <c r="D7" i="3"/>
  <c r="C13" i="2" l="1"/>
  <c r="D13" i="2"/>
  <c r="E13" i="2"/>
  <c r="F13" i="2"/>
  <c r="G13" i="2"/>
  <c r="H13" i="2"/>
  <c r="I13" i="2"/>
  <c r="J13" i="2"/>
  <c r="K13" i="2"/>
  <c r="B13" i="2"/>
  <c r="J25" i="1"/>
  <c r="D25" i="1"/>
  <c r="J6" i="1"/>
  <c r="D6" i="1"/>
  <c r="N6" i="3" l="1"/>
  <c r="K6" i="3"/>
  <c r="D6" i="3"/>
  <c r="N5" i="3" l="1"/>
  <c r="N14" i="3" s="1"/>
  <c r="K5" i="3"/>
  <c r="K14" i="3" s="1"/>
  <c r="D5" i="3"/>
  <c r="D14" i="3" s="1"/>
  <c r="J24" i="1"/>
  <c r="J33" i="1" s="1"/>
  <c r="D24" i="1"/>
  <c r="D33" i="1" s="1"/>
  <c r="J5" i="1"/>
  <c r="J14" i="1" s="1"/>
  <c r="D5" i="1"/>
  <c r="D14" i="1" s="1"/>
  <c r="E16" i="7" l="1"/>
  <c r="C17" i="4" l="1"/>
  <c r="D17" i="4"/>
  <c r="E17" i="4"/>
  <c r="B17" i="4"/>
  <c r="C50" i="4" l="1"/>
  <c r="D50" i="4"/>
  <c r="E50" i="4"/>
  <c r="B50" i="4"/>
  <c r="D16" i="7" l="1"/>
  <c r="C16" i="7"/>
</calcChain>
</file>

<file path=xl/sharedStrings.xml><?xml version="1.0" encoding="utf-8"?>
<sst xmlns="http://schemas.openxmlformats.org/spreadsheetml/2006/main" count="246" uniqueCount="171">
  <si>
    <t>Viviendas Planificadas</t>
  </si>
  <si>
    <t>Periodo</t>
  </si>
  <si>
    <t>Controles Planificados</t>
  </si>
  <si>
    <t>Controles Levantados</t>
  </si>
  <si>
    <t>Tipo A</t>
  </si>
  <si>
    <t>Tipo B</t>
  </si>
  <si>
    <t>Tipo C</t>
  </si>
  <si>
    <t>% de No Respuesta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</si>
  <si>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</si>
  <si>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</si>
  <si>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</si>
  <si>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</si>
  <si>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</si>
  <si>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</si>
  <si>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</si>
  <si>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</si>
  <si>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</si>
  <si>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</si>
  <si>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</si>
  <si>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</si>
  <si>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</si>
  <si>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Cantidad Nacimientos</t>
  </si>
  <si>
    <t>Cantidad Defunciones</t>
  </si>
  <si>
    <t>Cantidad Matrimonios</t>
  </si>
  <si>
    <t>Mes</t>
  </si>
  <si>
    <t>Municipíos</t>
  </si>
  <si>
    <t>Nodos planificados</t>
  </si>
  <si>
    <t>Nodos Instalados</t>
  </si>
  <si>
    <t>Nodos Activos</t>
  </si>
  <si>
    <t>En campo</t>
  </si>
  <si>
    <t>Dañadas</t>
  </si>
  <si>
    <t>Robadas</t>
  </si>
  <si>
    <t>En la Gerencia</t>
  </si>
  <si>
    <t>En equipo INE</t>
  </si>
  <si>
    <t>Coordinadores Municipales</t>
  </si>
  <si>
    <t>Coordinadores de Nodos</t>
  </si>
  <si>
    <t>Equipos Tecnológicos</t>
  </si>
  <si>
    <t>LAPTOPS y MINIPC</t>
  </si>
  <si>
    <t xml:space="preserve"> DMC</t>
  </si>
  <si>
    <t>MULTIBAM</t>
  </si>
  <si>
    <t>Capacidad de Rollos</t>
  </si>
  <si>
    <t>Cantidad</t>
  </si>
  <si>
    <t>Tipo de Personal</t>
  </si>
  <si>
    <t>Contratados</t>
  </si>
  <si>
    <t>Fijos</t>
  </si>
  <si>
    <t>HP</t>
  </si>
  <si>
    <t>Jubilados</t>
  </si>
  <si>
    <t>Obreros</t>
  </si>
  <si>
    <t>Cantidad Divorcios</t>
  </si>
  <si>
    <t>Cantidad Suicidios</t>
  </si>
  <si>
    <t>Personal INE</t>
  </si>
  <si>
    <t>Coordinador Municipal</t>
  </si>
  <si>
    <t>Coordinador de Nodo</t>
  </si>
  <si>
    <t>Supervisor</t>
  </si>
  <si>
    <t>Verificador / Encuestador Integral</t>
  </si>
  <si>
    <t>Nombre del Plan de Formación</t>
  </si>
  <si>
    <t>Tipo de Formación</t>
  </si>
  <si>
    <t>Nombre del Comité</t>
  </si>
  <si>
    <t>Fecha</t>
  </si>
  <si>
    <t>Total Participantes</t>
  </si>
  <si>
    <t>Organismo / Ente</t>
  </si>
  <si>
    <t>Finalidad</t>
  </si>
  <si>
    <t>Tipo de Reunión</t>
  </si>
  <si>
    <t>Gerencia de Precios</t>
  </si>
  <si>
    <t>Año</t>
  </si>
  <si>
    <t>Cantidad Unión Estable</t>
  </si>
  <si>
    <t>Total Recolectado</t>
  </si>
  <si>
    <t>Acosta</t>
  </si>
  <si>
    <t>Aguasay</t>
  </si>
  <si>
    <t>Bolívar</t>
  </si>
  <si>
    <t>Caripe</t>
  </si>
  <si>
    <t>Cedeño</t>
  </si>
  <si>
    <t>Ezequiel Zamora</t>
  </si>
  <si>
    <t>Libertador</t>
  </si>
  <si>
    <t>Maturín</t>
  </si>
  <si>
    <t>Piar</t>
  </si>
  <si>
    <t>Púnceres</t>
  </si>
  <si>
    <t>Santa Bárbara</t>
  </si>
  <si>
    <t xml:space="preserve">Sotillo </t>
  </si>
  <si>
    <t>Uracoa</t>
  </si>
  <si>
    <t>N</t>
  </si>
  <si>
    <t>Municipio</t>
  </si>
  <si>
    <t>Total Circuito Comunal</t>
  </si>
  <si>
    <t>Total de consejos comunales que conforman el circuito</t>
  </si>
  <si>
    <t>Punceres</t>
  </si>
  <si>
    <t>Sotillo</t>
  </si>
  <si>
    <t>TOTAL</t>
  </si>
  <si>
    <t>Ingresos</t>
  </si>
  <si>
    <t>Egresos</t>
  </si>
  <si>
    <t>% de Levantamiento</t>
  </si>
  <si>
    <t>% Por Transcribir</t>
  </si>
  <si>
    <t>MUNICIPIO</t>
  </si>
  <si>
    <t>Nº Coordinadores Municipales</t>
  </si>
  <si>
    <t>Nº Coordinadores de Nodos</t>
  </si>
  <si>
    <t>Nº Supervisores de Nodos</t>
  </si>
  <si>
    <t>Nº Verificadores /Encuestadores Integrales</t>
  </si>
  <si>
    <t>Cantidad Transcrita</t>
  </si>
  <si>
    <t>Nodos Inactivos</t>
  </si>
  <si>
    <t>Total de comunas vectorizadas</t>
  </si>
  <si>
    <t>Por Transcribir</t>
  </si>
  <si>
    <t>Viviendas Efectivas</t>
  </si>
  <si>
    <t>Viviendas No Efectivas</t>
  </si>
  <si>
    <t>Disponibles en Gerencia</t>
  </si>
  <si>
    <t>Disponibles en los Nodos</t>
  </si>
  <si>
    <t>De 4500 etiquetas por rollo</t>
  </si>
  <si>
    <t>De 2.000 a 3500 etiquetas por rollo</t>
  </si>
  <si>
    <t>Etiquetas infraestructura educativa</t>
  </si>
  <si>
    <t>ACOSTA</t>
  </si>
  <si>
    <t>AGUASAY</t>
  </si>
  <si>
    <t>BOLIVAR</t>
  </si>
  <si>
    <t>CARIPE</t>
  </si>
  <si>
    <t>CEDEÑO</t>
  </si>
  <si>
    <t>EZEQUIEL ZAMORA</t>
  </si>
  <si>
    <t>LIBERTADOR</t>
  </si>
  <si>
    <t>MATURIN</t>
  </si>
  <si>
    <t>PIAR</t>
  </si>
  <si>
    <t>PUNCERES</t>
  </si>
  <si>
    <t>SANTA BARBARA</t>
  </si>
  <si>
    <t xml:space="preserve">SOTILLO </t>
  </si>
  <si>
    <t>URACOA</t>
  </si>
  <si>
    <t>Servicios ODK</t>
  </si>
  <si>
    <t>Estado MONAGAS. Levantamiento de la Encuesta de Hogares por Muestreo (EHM), Año 2026</t>
  </si>
  <si>
    <t>Estado MONAGAS. Levantamiento de la Encuesta de Seguimiento al Consumo de Alimentos (ESCA), Año 2026</t>
  </si>
  <si>
    <t>ENTIDAD MONAGAS. Levantamiento del sistema de encuestas en el SEGEN. Año 2026</t>
  </si>
  <si>
    <t>Entidad Monagas. Proyecto Circuitos Comunales. Año  2026</t>
  </si>
  <si>
    <t>Entidad Monagas. Tipo de Personal INE. Año  2026</t>
  </si>
  <si>
    <t xml:space="preserve">Enero </t>
  </si>
  <si>
    <t xml:space="preserve">Total personal levantamiento Encuesta </t>
  </si>
  <si>
    <t>% Efectividad</t>
  </si>
  <si>
    <t>Total establecimientos implantados Directorio de Tipologias de Precios</t>
  </si>
  <si>
    <t xml:space="preserve"> Total establecimientos  con encuesta  efectiva en el levantamiento de precios CAN </t>
  </si>
  <si>
    <t xml:space="preserve">% Efectividad Total </t>
  </si>
  <si>
    <t>Total Precios Levantados reales efectivos</t>
  </si>
  <si>
    <t>Total Precios Levantados reales (sin errores)</t>
  </si>
  <si>
    <t>Entidad Monagas.  Levantamiento de Proyectos CAN, complementaria y directorio de establecimientos, año 2026</t>
  </si>
  <si>
    <t>Total Comunas con  levantamiento CAN (incluye complementaria)</t>
  </si>
  <si>
    <t xml:space="preserve">Total establecimientos planificados  para levantamiento CAN  por tipologias </t>
  </si>
  <si>
    <t>Total Nodos con  levantamiento CAN (incluye complementaria)</t>
  </si>
  <si>
    <t>Total tiempo promedio de levantamiento encuesta (operaciones de campo)</t>
  </si>
  <si>
    <t xml:space="preserve">Total personal planificado operaciones       de campo </t>
  </si>
  <si>
    <t xml:space="preserve">TOTAL </t>
  </si>
  <si>
    <t>Consulta Laboral 2026 V2</t>
  </si>
  <si>
    <t>Técnica</t>
  </si>
  <si>
    <t xml:space="preserve"> </t>
  </si>
  <si>
    <t xml:space="preserve">Las poligonales de las comunas y circuitos comunales de los municipios: Maturín, Caripe y Ezequiel Zamora, fueron vectorizadas por el IGVSB, con información suministradas por voceros de cada una de esas OBPP. Los municipios restantes fueron cartografiados tanto las comunas, circuitos comunales y los consejos comunales agregados a esas OBPP, por la Unidad de Cartografía Estadística de INE Monagas, con información provenientes de los nodos, Fundacomunal y Cuadrante de Paz. De las 199 comunas y circuitos comunales, 177 de ellas están 100% vectorizadas con sus consejos comunales, 18 tienen un avance entre 33 al 93% completadas y 4 tienen 0% de avance. </t>
  </si>
  <si>
    <t>Taller</t>
  </si>
  <si>
    <t>Mesa Técnica de Registros Vitales</t>
  </si>
  <si>
    <t>Dirección Regional de Salud (Epidemiología), Consejo Nacional Electoral (CNE), INE Monagas</t>
  </si>
  <si>
    <t>Educación, Medios y Lectura (COMPLETO)</t>
  </si>
  <si>
    <t>Percepcion Ciudadana y Respuesta a la Emergencia - Contingencia terremoto</t>
  </si>
  <si>
    <t>Total</t>
  </si>
  <si>
    <t>Formulario Intercensal Conteo Rápido v2.</t>
  </si>
  <si>
    <t>Junio 2026 Encuesta Coyuntura-Transformación del Estado</t>
  </si>
  <si>
    <t>Celeridad y Optimización de Trámites Adm.</t>
  </si>
  <si>
    <t>Junio 2026 Encuesta Coyuntura V.2</t>
  </si>
  <si>
    <t>Económica ODK V2</t>
  </si>
  <si>
    <t xml:space="preserve">Se hizo una evaluación operativa de los procesos que está llevando cada institución para la mejora continua de los registros vitales. </t>
  </si>
  <si>
    <t>Entidad MONAGAS. Reuniones de Comité  de Coordinación de Estadística Estadal en el mes de agosto 2026</t>
  </si>
  <si>
    <t>Estado Monagas. Estadísticas Vitales según el total de boletas recibidas, codificadas, transcritas y por transcribir, por año ESTADISTICAS VITALES AL 31/08/2026</t>
  </si>
  <si>
    <t>Entidad Monagas. Estatus de los Nodos del SEGEN al mes de agosto 2026</t>
  </si>
  <si>
    <t>Entidad MONAGAS. Equipos Tecnológicos en los Nodos del SEGEN al mes de agosto 2026</t>
  </si>
  <si>
    <t>Entidad MONAGAS. Disponibilidad de etiquetas  al mes de agosto 2026</t>
  </si>
  <si>
    <t>Entidad MONAGAS. Personal SEGEN  al mes de agosto 2026</t>
  </si>
  <si>
    <t>ENTIDAD MONAGAS. Personas capacitadas en el mes de agosto 2026</t>
  </si>
  <si>
    <t>Capacitación teórica-práctica de la metodología de levantamiento de las encuestas de ESCA al equipo del SEGEN (nodos: 16060 y 16102) del municipio Bolívar.</t>
  </si>
  <si>
    <t>Capacitación teórica-práctica de la metodología de levantamiento de las encuestas de ESCA al equipo del SEGEN (nodo 16064) del municipio Caripe.</t>
  </si>
  <si>
    <t>Capacitación teórica-práctica de la metodología de levantamiento de las encuestas de ESCA al equipo del SEGEN (nodos: 16087 - 16089 – 16077) del municipio Púnceres</t>
  </si>
  <si>
    <t>Doble terremoto y respuesta del Estado: La vida y protección de la gente como prioridad.</t>
  </si>
  <si>
    <t>¿Cambio o crisis climática? Desafíos para la humanidad.</t>
  </si>
  <si>
    <t>De los ACA Comunitarios al presupuesto Nacional: El poder obediencial.</t>
  </si>
  <si>
    <t>Formación e inclusión laboral. Oleada en sector construcción.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</si>
</sst>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/mm/yy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DD7EE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0" xfId="0" applyFont="1" applyFill="1"/>
    <xf numFmtId="0" fontId="13" fillId="0" borderId="0" xfId="0" applyFont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17" fillId="5" borderId="5" xfId="0" applyFont="1" applyFill="1" applyBorder="1" applyAlignment="1">
      <alignment horizontal="center" vertical="center" wrapText="1"/>
    </xf>
    <xf numFmtId="0" fontId="0" fillId="0" borderId="1" xfId="0" applyBorder="1"/>
    <xf numFmtId="17" fontId="11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3" fontId="9" fillId="3" borderId="14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5" fillId="3" borderId="0" xfId="0" applyFont="1" applyFill="1" applyAlignment="1">
      <alignment vertical="center"/>
    </xf>
    <xf numFmtId="1" fontId="9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 wrapText="1"/>
    </xf>
    <xf numFmtId="17" fontId="18" fillId="0" borderId="1" xfId="0" applyNumberFormat="1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1" fontId="13" fillId="0" borderId="1" xfId="0" applyNumberFormat="1" applyFont="1" applyBorder="1" applyAlignment="1">
      <alignment vertical="center"/>
    </xf>
    <xf numFmtId="0" fontId="14" fillId="5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0" fontId="0" fillId="0" borderId="0" xfId="0" applyAlignment="1">
      <alignment horizontal="center"/>
    </xf>
    <xf numFmtId="1" fontId="17" fillId="5" borderId="1" xfId="0" applyNumberFormat="1" applyFont="1" applyFill="1" applyBorder="1" applyAlignment="1">
      <alignment horizontal="center" vertical="center" wrapText="1"/>
    </xf>
    <xf numFmtId="17" fontId="11" fillId="0" borderId="16" xfId="0" applyNumberFormat="1" applyFont="1" applyBorder="1" applyAlignment="1">
      <alignment horizontal="left" vertical="center" wrapText="1"/>
    </xf>
    <xf numFmtId="0" fontId="13" fillId="3" borderId="0" xfId="0" applyFont="1" applyFill="1" applyAlignment="1">
      <alignment horizontal="center" vertical="center"/>
    </xf>
    <xf numFmtId="2" fontId="13" fillId="3" borderId="0" xfId="0" applyNumberFormat="1" applyFont="1" applyFill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0" borderId="0" xfId="0" applyFont="1"/>
    <xf numFmtId="2" fontId="6" fillId="0" borderId="1" xfId="0" applyNumberFormat="1" applyFont="1" applyBorder="1" applyAlignment="1">
      <alignment horizontal="left" vertical="center" wrapText="1"/>
    </xf>
    <xf numFmtId="4" fontId="9" fillId="3" borderId="14" xfId="0" applyNumberFormat="1" applyFont="1" applyFill="1" applyBorder="1" applyAlignment="1">
      <alignment horizontal="center" vertical="center" wrapText="1"/>
    </xf>
    <xf numFmtId="2" fontId="17" fillId="5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justify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1" fontId="0" fillId="0" borderId="0" xfId="0" applyNumberFormat="1"/>
    <xf numFmtId="1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4" fillId="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justify" vertical="center" wrapText="1"/>
    </xf>
    <xf numFmtId="0" fontId="12" fillId="0" borderId="5" xfId="0" applyFont="1" applyBorder="1" applyAlignment="1">
      <alignment horizontal="justify" vertical="center"/>
    </xf>
    <xf numFmtId="0" fontId="12" fillId="0" borderId="12" xfId="0" applyFont="1" applyBorder="1" applyAlignment="1">
      <alignment horizontal="justify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7" fontId="18" fillId="0" borderId="16" xfId="0" applyNumberFormat="1" applyFont="1" applyBorder="1" applyAlignment="1">
      <alignment horizontal="center" vertical="center" wrapText="1"/>
    </xf>
    <xf numFmtId="17" fontId="18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/>
    </xf>
    <xf numFmtId="0" fontId="9" fillId="3" borderId="4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horizontal="left" vertical="center"/>
    </xf>
    <xf numFmtId="0" fontId="12" fillId="3" borderId="17" xfId="0" applyFont="1" applyFill="1" applyBorder="1" applyAlignment="1">
      <alignment horizontal="justify" vertical="center"/>
    </xf>
    <xf numFmtId="0" fontId="12" fillId="3" borderId="4" xfId="0" applyFont="1" applyFill="1" applyBorder="1" applyAlignment="1">
      <alignment horizontal="justify" vertical="center"/>
    </xf>
  </cellXfs>
  <cellStyles count="3">
    <cellStyle name="Millares 2" xfId="1" xr:uid="{00000000-0005-0000-0000-000000000000}"/>
    <cellStyle name="Millares 3" xfId="2" xr:uid="{00000000-0005-0000-0000-000001000000}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:K13" totalsRowShown="0" headerRowDxfId="15" dataDxfId="13" headerRowBorderDxfId="14" tableBorderDxfId="12" totalsRowBorderDxfId="11">
  <tableColumns count="11">
    <tableColumn id="1" xr3:uid="{00000000-0010-0000-0000-000001000000}" name="Año" dataDxfId="10"/>
    <tableColumn id="2" xr3:uid="{00000000-0010-0000-0000-000002000000}" name="Cantidad Nacimientos" dataDxfId="9"/>
    <tableColumn id="3" xr3:uid="{00000000-0010-0000-0000-000003000000}" name="Cantidad Defunciones" dataDxfId="8"/>
    <tableColumn id="4" xr3:uid="{00000000-0010-0000-0000-000004000000}" name="Cantidad Matrimonios" dataDxfId="7"/>
    <tableColumn id="5" xr3:uid="{00000000-0010-0000-0000-000005000000}" name="Cantidad Unión Estable" dataDxfId="6"/>
    <tableColumn id="6" xr3:uid="{00000000-0010-0000-0000-000006000000}" name="Cantidad Divorcios" dataDxfId="5"/>
    <tableColumn id="7" xr3:uid="{00000000-0010-0000-0000-000007000000}" name="Cantidad Suicidios" dataDxfId="4"/>
    <tableColumn id="8" xr3:uid="{00000000-0010-0000-0000-000008000000}" name="Total Recolectado" dataDxfId="3"/>
    <tableColumn id="9" xr3:uid="{00000000-0010-0000-0000-000009000000}" name="Cantidad Transcrita" dataDxfId="2"/>
    <tableColumn id="10" xr3:uid="{00000000-0010-0000-0000-00000A000000}" name="Por Transcribir" dataDxfId="1"/>
    <tableColumn id="11" xr3:uid="{00000000-0010-0000-0000-00000B000000}" name="% Por Transcribi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opLeftCell="A13" zoomScale="86" zoomScaleNormal="86" workbookViewId="0">
      <selection activeCell="A31" sqref="A31"/>
    </sheetView>
  </sheetViews>
  <sheetFormatPr baseColWidth="10" defaultColWidth="11.42578125" defaultRowHeight="20.25" x14ac:dyDescent="0.3"/>
  <cols>
    <col min="1" max="1" width="17.42578125" style="15" customWidth="1"/>
    <col min="2" max="2" width="20.140625" style="15" customWidth="1"/>
    <col min="3" max="3" width="18.5703125" style="15" customWidth="1"/>
    <col min="4" max="4" width="24.140625" style="15" customWidth="1"/>
    <col min="5" max="5" width="20.140625" style="15" customWidth="1"/>
    <col min="6" max="6" width="16.42578125" style="15" customWidth="1"/>
    <col min="7" max="7" width="12.140625" style="15" customWidth="1"/>
    <col min="8" max="8" width="11.28515625" style="15" customWidth="1"/>
    <col min="9" max="9" width="12.28515625" style="15" customWidth="1"/>
    <col min="10" max="10" width="21.7109375" style="15" customWidth="1"/>
    <col min="11" max="14" width="11.42578125" style="14"/>
    <col min="15" max="16384" width="11.42578125" style="15"/>
  </cols>
  <sheetData>
    <row r="1" spans="1:16" x14ac:dyDescent="0.3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6" ht="35.25" customHeight="1" thickBot="1" x14ac:dyDescent="0.35">
      <c r="A2" s="120" t="s">
        <v>121</v>
      </c>
      <c r="B2" s="120"/>
      <c r="C2" s="120"/>
      <c r="D2" s="120"/>
      <c r="E2" s="120"/>
      <c r="F2" s="120"/>
      <c r="G2" s="120"/>
      <c r="H2" s="120"/>
      <c r="I2" s="120"/>
      <c r="J2" s="120"/>
    </row>
    <row r="3" spans="1:16" ht="23.25" customHeight="1" x14ac:dyDescent="0.3">
      <c r="A3" s="95" t="s">
        <v>1</v>
      </c>
      <c r="B3" s="95" t="s">
        <v>2</v>
      </c>
      <c r="C3" s="95" t="s">
        <v>3</v>
      </c>
      <c r="D3" s="95" t="s">
        <v>89</v>
      </c>
      <c r="E3" s="95" t="s">
        <v>0</v>
      </c>
      <c r="F3" s="95" t="s">
        <v>100</v>
      </c>
      <c r="G3" s="97" t="s">
        <v>101</v>
      </c>
      <c r="H3" s="98"/>
      <c r="I3" s="99"/>
      <c r="J3" s="95" t="s">
        <v>7</v>
      </c>
    </row>
    <row r="4" spans="1:16" ht="19.5" customHeight="1" x14ac:dyDescent="0.3">
      <c r="A4" s="100"/>
      <c r="B4" s="96"/>
      <c r="C4" s="96"/>
      <c r="D4" s="96"/>
      <c r="E4" s="96"/>
      <c r="F4" s="96"/>
      <c r="G4" s="49" t="s">
        <v>4</v>
      </c>
      <c r="H4" s="49" t="s">
        <v>5</v>
      </c>
      <c r="I4" s="49" t="s">
        <v>6</v>
      </c>
      <c r="J4" s="96"/>
    </row>
    <row r="5" spans="1:16" ht="24" customHeight="1" x14ac:dyDescent="0.3">
      <c r="A5" s="26" t="s">
        <v>8</v>
      </c>
      <c r="B5" s="47">
        <v>13</v>
      </c>
      <c r="C5" s="47">
        <v>10</v>
      </c>
      <c r="D5" s="48">
        <f t="shared" ref="D5:D10" si="0">C5/B5*100</f>
        <v>76.923076923076934</v>
      </c>
      <c r="E5" s="47">
        <v>152</v>
      </c>
      <c r="F5" s="47">
        <v>78</v>
      </c>
      <c r="G5" s="47">
        <v>45</v>
      </c>
      <c r="H5" s="47">
        <v>24</v>
      </c>
      <c r="I5" s="47">
        <v>5</v>
      </c>
      <c r="J5" s="48">
        <f t="shared" ref="J5:J10" si="1">(G5/(E5-(H5+I5)))*100</f>
        <v>36.585365853658537</v>
      </c>
    </row>
    <row r="6" spans="1:16" ht="24" customHeight="1" x14ac:dyDescent="0.3">
      <c r="A6" s="26" t="s">
        <v>9</v>
      </c>
      <c r="B6" s="47">
        <v>13</v>
      </c>
      <c r="C6" s="47">
        <v>11</v>
      </c>
      <c r="D6" s="48">
        <f t="shared" si="0"/>
        <v>84.615384615384613</v>
      </c>
      <c r="E6" s="47">
        <v>168</v>
      </c>
      <c r="F6" s="47">
        <v>88</v>
      </c>
      <c r="G6" s="47">
        <v>40</v>
      </c>
      <c r="H6" s="47">
        <v>29</v>
      </c>
      <c r="I6" s="47">
        <v>11</v>
      </c>
      <c r="J6" s="47">
        <f t="shared" si="1"/>
        <v>31.25</v>
      </c>
    </row>
    <row r="7" spans="1:16" ht="24" customHeight="1" x14ac:dyDescent="0.3">
      <c r="A7" s="26" t="s">
        <v>10</v>
      </c>
      <c r="B7" s="47">
        <v>15</v>
      </c>
      <c r="C7" s="47">
        <v>10</v>
      </c>
      <c r="D7" s="48">
        <f t="shared" si="0"/>
        <v>66.666666666666657</v>
      </c>
      <c r="E7" s="47">
        <v>145</v>
      </c>
      <c r="F7" s="47">
        <v>79</v>
      </c>
      <c r="G7" s="47">
        <v>28</v>
      </c>
      <c r="H7" s="47">
        <v>29</v>
      </c>
      <c r="I7" s="47">
        <v>5</v>
      </c>
      <c r="J7" s="48">
        <f t="shared" si="1"/>
        <v>25.225225225225223</v>
      </c>
    </row>
    <row r="8" spans="1:16" ht="24" customHeight="1" x14ac:dyDescent="0.3">
      <c r="A8" s="26" t="s">
        <v>11</v>
      </c>
      <c r="B8" s="47">
        <v>13</v>
      </c>
      <c r="C8" s="47">
        <v>11</v>
      </c>
      <c r="D8" s="48">
        <f t="shared" si="0"/>
        <v>84.615384615384613</v>
      </c>
      <c r="E8" s="47">
        <v>165</v>
      </c>
      <c r="F8" s="47">
        <v>74</v>
      </c>
      <c r="G8" s="47">
        <v>47</v>
      </c>
      <c r="H8" s="47">
        <v>38</v>
      </c>
      <c r="I8" s="47">
        <v>6</v>
      </c>
      <c r="J8" s="48">
        <f t="shared" si="1"/>
        <v>38.84297520661157</v>
      </c>
    </row>
    <row r="9" spans="1:16" ht="24" customHeight="1" x14ac:dyDescent="0.3">
      <c r="A9" s="26" t="s">
        <v>12</v>
      </c>
      <c r="B9" s="47">
        <v>17</v>
      </c>
      <c r="C9" s="47">
        <v>14</v>
      </c>
      <c r="D9" s="48">
        <f t="shared" si="0"/>
        <v>82.35294117647058</v>
      </c>
      <c r="E9" s="47">
        <v>215</v>
      </c>
      <c r="F9" s="47">
        <v>123</v>
      </c>
      <c r="G9" s="47">
        <v>49</v>
      </c>
      <c r="H9" s="47">
        <v>37</v>
      </c>
      <c r="I9" s="47">
        <v>6</v>
      </c>
      <c r="J9" s="48">
        <f t="shared" si="1"/>
        <v>28.488372093023255</v>
      </c>
    </row>
    <row r="10" spans="1:16" ht="24" customHeight="1" x14ac:dyDescent="0.3">
      <c r="A10" s="26" t="s">
        <v>13</v>
      </c>
      <c r="B10" s="47">
        <v>13</v>
      </c>
      <c r="C10" s="47">
        <v>12</v>
      </c>
      <c r="D10" s="48">
        <f t="shared" si="0"/>
        <v>92.307692307692307</v>
      </c>
      <c r="E10" s="47">
        <v>189</v>
      </c>
      <c r="F10" s="47">
        <v>101</v>
      </c>
      <c r="G10" s="47">
        <v>46</v>
      </c>
      <c r="H10" s="47">
        <v>34</v>
      </c>
      <c r="I10" s="47">
        <v>8</v>
      </c>
      <c r="J10" s="48">
        <f t="shared" si="1"/>
        <v>31.292517006802722</v>
      </c>
    </row>
    <row r="11" spans="1:16" ht="24" customHeight="1" x14ac:dyDescent="0.3">
      <c r="A11" s="26" t="s">
        <v>14</v>
      </c>
      <c r="B11" s="47">
        <v>9</v>
      </c>
      <c r="C11" s="47">
        <v>6</v>
      </c>
      <c r="D11" s="48">
        <f t="shared" ref="D11" si="2">C11/B11*100</f>
        <v>66.666666666666657</v>
      </c>
      <c r="E11" s="47">
        <v>91</v>
      </c>
      <c r="F11" s="47">
        <v>59</v>
      </c>
      <c r="G11" s="47">
        <v>11</v>
      </c>
      <c r="H11" s="47">
        <v>17</v>
      </c>
      <c r="I11" s="47">
        <v>4</v>
      </c>
      <c r="J11" s="48">
        <f>(G11/(E11-(H11+I11)))*100</f>
        <v>15.714285714285714</v>
      </c>
    </row>
    <row r="12" spans="1:16" ht="24" customHeight="1" x14ac:dyDescent="0.3">
      <c r="A12" s="26" t="s">
        <v>15</v>
      </c>
      <c r="B12" s="47">
        <v>13</v>
      </c>
      <c r="C12" s="47">
        <v>11</v>
      </c>
      <c r="D12" s="48">
        <f>(C12/B12)*100</f>
        <v>84.615384615384613</v>
      </c>
      <c r="E12" s="47">
        <v>172</v>
      </c>
      <c r="F12" s="47">
        <v>97</v>
      </c>
      <c r="G12" s="47">
        <v>25</v>
      </c>
      <c r="H12" s="47">
        <v>37</v>
      </c>
      <c r="I12" s="47">
        <v>13</v>
      </c>
      <c r="J12" s="48">
        <f>(G12/(E12-(H12+I12)))*100</f>
        <v>20.491803278688526</v>
      </c>
    </row>
    <row r="13" spans="1:16" ht="24" customHeight="1" x14ac:dyDescent="0.3">
      <c r="A13" s="60"/>
      <c r="B13" s="61"/>
      <c r="C13" s="61"/>
      <c r="D13" s="62"/>
      <c r="E13" s="61"/>
      <c r="F13" s="61"/>
      <c r="G13" s="61"/>
      <c r="H13" s="61"/>
      <c r="I13" s="61"/>
      <c r="J13" s="62"/>
    </row>
    <row r="14" spans="1:16" ht="24" customHeight="1" x14ac:dyDescent="0.3">
      <c r="A14" s="51" t="s">
        <v>86</v>
      </c>
      <c r="B14" s="51">
        <f>SUM(B5:B12)</f>
        <v>106</v>
      </c>
      <c r="C14" s="51">
        <f>SUM(C5:C12)</f>
        <v>85</v>
      </c>
      <c r="D14" s="70">
        <f>SUM((D5:D12))/7</f>
        <v>91.251885369532445</v>
      </c>
      <c r="E14" s="51">
        <f>SUM(E5:E12)</f>
        <v>1297</v>
      </c>
      <c r="F14" s="51">
        <f>SUM(F5:F12)</f>
        <v>699</v>
      </c>
      <c r="G14" s="51">
        <f t="shared" ref="G14:I14" si="3">SUM(G5:G12)</f>
        <v>291</v>
      </c>
      <c r="H14" s="51">
        <f t="shared" si="3"/>
        <v>245</v>
      </c>
      <c r="I14" s="51">
        <f t="shared" si="3"/>
        <v>58</v>
      </c>
      <c r="J14" s="70">
        <f>(SUM((J5:J12))/7)</f>
        <v>32.555792054042222</v>
      </c>
    </row>
    <row r="15" spans="1:16" ht="24" customHeight="1" x14ac:dyDescent="0.3">
      <c r="A15" s="26" t="s">
        <v>16</v>
      </c>
      <c r="B15" s="27"/>
      <c r="C15" s="27"/>
      <c r="D15" s="28"/>
      <c r="E15" s="27"/>
      <c r="F15" s="27"/>
      <c r="G15" s="27"/>
      <c r="H15" s="27"/>
      <c r="I15" s="27"/>
      <c r="J15" s="27"/>
      <c r="O15" s="14"/>
      <c r="P15" s="14"/>
    </row>
    <row r="16" spans="1:16" ht="24" customHeight="1" x14ac:dyDescent="0.3">
      <c r="A16" s="26" t="s">
        <v>17</v>
      </c>
      <c r="B16" s="27"/>
      <c r="C16" s="27"/>
      <c r="D16" s="28"/>
      <c r="E16" s="27"/>
      <c r="F16" s="27"/>
      <c r="G16" s="27"/>
      <c r="H16" s="27"/>
      <c r="I16" s="27"/>
      <c r="J16" s="27"/>
      <c r="O16" s="14"/>
      <c r="P16" s="14"/>
    </row>
    <row r="17" spans="1:10" ht="24" customHeight="1" x14ac:dyDescent="0.3">
      <c r="A17" s="26" t="s">
        <v>18</v>
      </c>
      <c r="B17" s="27"/>
      <c r="C17" s="27"/>
      <c r="D17" s="28"/>
      <c r="E17" s="27"/>
      <c r="F17" s="27"/>
      <c r="G17" s="27"/>
      <c r="H17" s="27"/>
      <c r="I17" s="27"/>
      <c r="J17" s="27"/>
    </row>
    <row r="18" spans="1:10" ht="24" customHeight="1" x14ac:dyDescent="0.3">
      <c r="A18" s="26" t="s">
        <v>19</v>
      </c>
      <c r="B18" s="27"/>
      <c r="C18" s="27"/>
      <c r="D18" s="28"/>
      <c r="E18" s="27"/>
      <c r="F18" s="27"/>
      <c r="G18" s="27"/>
      <c r="H18" s="27"/>
      <c r="I18" s="27"/>
      <c r="J18" s="27"/>
    </row>
    <row r="19" spans="1:10" s="14" customFormat="1" x14ac:dyDescent="0.3"/>
    <row r="20" spans="1:10" x14ac:dyDescent="0.3">
      <c r="A20" s="14"/>
      <c r="B20" s="14"/>
      <c r="C20" s="14"/>
      <c r="D20" s="14"/>
      <c r="E20" s="14"/>
      <c r="F20" s="14" t="s">
        <v>143</v>
      </c>
      <c r="G20" s="14"/>
      <c r="H20" s="14"/>
      <c r="I20" s="14"/>
      <c r="J20" s="14"/>
    </row>
    <row r="21" spans="1:10" ht="39" customHeight="1" thickBot="1" x14ac:dyDescent="0.35">
      <c r="A21" s="121" t="s">
        <v>122</v>
      </c>
      <c r="B21" s="121"/>
      <c r="C21" s="121"/>
      <c r="D21" s="121"/>
      <c r="E21" s="121"/>
      <c r="F21" s="121"/>
      <c r="G21" s="121"/>
      <c r="H21" s="121"/>
      <c r="I21" s="121"/>
      <c r="J21" s="121"/>
    </row>
    <row r="22" spans="1:10" ht="21" customHeight="1" x14ac:dyDescent="0.3">
      <c r="A22" s="95" t="s">
        <v>1</v>
      </c>
      <c r="B22" s="95" t="s">
        <v>2</v>
      </c>
      <c r="C22" s="95" t="s">
        <v>3</v>
      </c>
      <c r="D22" s="95" t="s">
        <v>89</v>
      </c>
      <c r="E22" s="95" t="s">
        <v>0</v>
      </c>
      <c r="F22" s="95" t="s">
        <v>100</v>
      </c>
      <c r="G22" s="97" t="s">
        <v>101</v>
      </c>
      <c r="H22" s="98"/>
      <c r="I22" s="99"/>
      <c r="J22" s="95" t="s">
        <v>7</v>
      </c>
    </row>
    <row r="23" spans="1:10" ht="24" customHeight="1" x14ac:dyDescent="0.3">
      <c r="A23" s="100"/>
      <c r="B23" s="100"/>
      <c r="C23" s="100"/>
      <c r="D23" s="100"/>
      <c r="E23" s="100"/>
      <c r="F23" s="100"/>
      <c r="G23" s="24" t="s">
        <v>4</v>
      </c>
      <c r="H23" s="24" t="s">
        <v>5</v>
      </c>
      <c r="I23" s="24" t="s">
        <v>6</v>
      </c>
      <c r="J23" s="100"/>
    </row>
    <row r="24" spans="1:10" ht="24" customHeight="1" x14ac:dyDescent="0.3">
      <c r="A24" s="26" t="s">
        <v>8</v>
      </c>
      <c r="B24" s="47">
        <v>22</v>
      </c>
      <c r="C24" s="47">
        <v>19</v>
      </c>
      <c r="D24" s="48">
        <f>C24/B24*100</f>
        <v>86.36363636363636</v>
      </c>
      <c r="E24" s="47">
        <v>287</v>
      </c>
      <c r="F24" s="47">
        <v>102</v>
      </c>
      <c r="G24" s="47">
        <v>133</v>
      </c>
      <c r="H24" s="47">
        <v>42</v>
      </c>
      <c r="I24" s="47">
        <v>10</v>
      </c>
      <c r="J24" s="48">
        <f>(G24/(E24-(H24+I24)))*100</f>
        <v>56.59574468085107</v>
      </c>
    </row>
    <row r="25" spans="1:10" ht="24" customHeight="1" x14ac:dyDescent="0.3">
      <c r="A25" s="26" t="s">
        <v>9</v>
      </c>
      <c r="B25" s="47">
        <v>24</v>
      </c>
      <c r="C25" s="47">
        <v>20</v>
      </c>
      <c r="D25" s="48">
        <f>C25/B25*100</f>
        <v>83.333333333333343</v>
      </c>
      <c r="E25" s="47">
        <v>288</v>
      </c>
      <c r="F25" s="47">
        <v>129</v>
      </c>
      <c r="G25" s="47">
        <v>92</v>
      </c>
      <c r="H25" s="47">
        <v>55</v>
      </c>
      <c r="I25" s="47">
        <v>12</v>
      </c>
      <c r="J25" s="48">
        <f>(G25/(E25-(H25+I25)))*100</f>
        <v>41.628959276018101</v>
      </c>
    </row>
    <row r="26" spans="1:10" ht="24" customHeight="1" x14ac:dyDescent="0.3">
      <c r="A26" s="26" t="s">
        <v>10</v>
      </c>
      <c r="B26" s="47">
        <v>24</v>
      </c>
      <c r="C26" s="47">
        <v>17</v>
      </c>
      <c r="D26" s="48">
        <f>C26/B26*100</f>
        <v>70.833333333333343</v>
      </c>
      <c r="E26" s="47">
        <v>258</v>
      </c>
      <c r="F26" s="47">
        <v>150</v>
      </c>
      <c r="G26" s="47">
        <v>59</v>
      </c>
      <c r="H26" s="47">
        <v>37</v>
      </c>
      <c r="I26" s="47">
        <v>13</v>
      </c>
      <c r="J26" s="48">
        <f>(G26/(E26-(H26+I26)))*100</f>
        <v>28.365384615384613</v>
      </c>
    </row>
    <row r="27" spans="1:10" ht="24" customHeight="1" x14ac:dyDescent="0.3">
      <c r="A27" s="26" t="s">
        <v>11</v>
      </c>
      <c r="B27" s="47">
        <v>23</v>
      </c>
      <c r="C27" s="47">
        <v>19</v>
      </c>
      <c r="D27" s="48">
        <f>C27/B27*100</f>
        <v>82.608695652173907</v>
      </c>
      <c r="E27" s="47">
        <v>277</v>
      </c>
      <c r="F27" s="47">
        <v>160</v>
      </c>
      <c r="G27" s="47">
        <v>61</v>
      </c>
      <c r="H27" s="47">
        <v>50</v>
      </c>
      <c r="I27" s="47">
        <v>6</v>
      </c>
      <c r="J27" s="48">
        <f>(G27/(E27-(H27+I27)))*100</f>
        <v>27.601809954751133</v>
      </c>
    </row>
    <row r="28" spans="1:10" ht="24" customHeight="1" x14ac:dyDescent="0.3">
      <c r="A28" s="26" t="s">
        <v>12</v>
      </c>
      <c r="B28" s="47">
        <v>29</v>
      </c>
      <c r="C28" s="47">
        <v>24</v>
      </c>
      <c r="D28" s="48">
        <f>C28/B28*100</f>
        <v>82.758620689655174</v>
      </c>
      <c r="E28" s="47">
        <v>357</v>
      </c>
      <c r="F28" s="47">
        <v>203</v>
      </c>
      <c r="G28" s="47">
        <v>69</v>
      </c>
      <c r="H28" s="47">
        <v>64</v>
      </c>
      <c r="I28" s="47">
        <v>21</v>
      </c>
      <c r="J28" s="48">
        <f>(G28/(E28-(H28+I28)))*100</f>
        <v>25.367647058823529</v>
      </c>
    </row>
    <row r="29" spans="1:10" ht="24" customHeight="1" x14ac:dyDescent="0.3">
      <c r="A29" s="26" t="s">
        <v>13</v>
      </c>
      <c r="B29" s="47">
        <v>18</v>
      </c>
      <c r="C29" s="47">
        <v>13</v>
      </c>
      <c r="D29" s="48">
        <f t="shared" ref="D29:D31" si="4">C29/B29*100</f>
        <v>72.222222222222214</v>
      </c>
      <c r="E29" s="47">
        <v>182</v>
      </c>
      <c r="F29" s="47">
        <v>92</v>
      </c>
      <c r="G29" s="47">
        <v>50</v>
      </c>
      <c r="H29" s="47">
        <v>29</v>
      </c>
      <c r="I29" s="47">
        <v>11</v>
      </c>
      <c r="J29" s="48">
        <f t="shared" ref="J29:J31" si="5">(G29/(E29-(H29+I29)))*100</f>
        <v>35.2112676056338</v>
      </c>
    </row>
    <row r="30" spans="1:10" ht="24" customHeight="1" x14ac:dyDescent="0.3">
      <c r="A30" s="26" t="s">
        <v>14</v>
      </c>
      <c r="B30" s="47">
        <v>17</v>
      </c>
      <c r="C30" s="47">
        <v>15</v>
      </c>
      <c r="D30" s="48">
        <f t="shared" ref="D30" si="6">C30/B30*100</f>
        <v>88.235294117647058</v>
      </c>
      <c r="E30" s="47">
        <v>234</v>
      </c>
      <c r="F30" s="47">
        <v>134</v>
      </c>
      <c r="G30" s="47">
        <v>33</v>
      </c>
      <c r="H30" s="47">
        <v>49</v>
      </c>
      <c r="I30" s="47">
        <v>18</v>
      </c>
      <c r="J30" s="48">
        <f t="shared" ref="J30" si="7">(G30/(E30-(H30+I30)))*100</f>
        <v>19.760479041916167</v>
      </c>
    </row>
    <row r="31" spans="1:10" ht="24" customHeight="1" x14ac:dyDescent="0.3">
      <c r="A31" s="26" t="s">
        <v>15</v>
      </c>
      <c r="B31" s="47">
        <v>23</v>
      </c>
      <c r="C31" s="47">
        <v>19</v>
      </c>
      <c r="D31" s="48">
        <f t="shared" si="4"/>
        <v>82.608695652173907</v>
      </c>
      <c r="E31" s="47">
        <v>287</v>
      </c>
      <c r="F31" s="47">
        <v>139</v>
      </c>
      <c r="G31" s="47">
        <v>55</v>
      </c>
      <c r="H31" s="47">
        <v>69</v>
      </c>
      <c r="I31" s="47">
        <v>24</v>
      </c>
      <c r="J31" s="48">
        <f t="shared" si="5"/>
        <v>28.350515463917525</v>
      </c>
    </row>
    <row r="32" spans="1:10" ht="24" customHeight="1" x14ac:dyDescent="0.3">
      <c r="A32" s="60"/>
      <c r="B32" s="61"/>
      <c r="C32" s="61"/>
      <c r="D32" s="62"/>
      <c r="E32" s="61"/>
      <c r="F32" s="61"/>
      <c r="G32" s="61"/>
      <c r="H32" s="61"/>
      <c r="I32" s="61"/>
      <c r="J32" s="62"/>
    </row>
    <row r="33" spans="1:10" ht="24" customHeight="1" x14ac:dyDescent="0.3">
      <c r="A33" s="51" t="s">
        <v>86</v>
      </c>
      <c r="B33" s="59">
        <f>(SUM(B24:B31))</f>
        <v>180</v>
      </c>
      <c r="C33" s="59">
        <f>(SUM(C24:C31))</f>
        <v>146</v>
      </c>
      <c r="D33" s="70">
        <f>((SUM(D24:D31)))/7</f>
        <v>92.709118766310752</v>
      </c>
      <c r="E33" s="59">
        <f>(SUM(E24:I31))</f>
        <v>4341</v>
      </c>
      <c r="F33" s="59">
        <f>(SUM(F24:F31))</f>
        <v>1109</v>
      </c>
      <c r="G33" s="59">
        <f>(SUM(G24:G31))</f>
        <v>552</v>
      </c>
      <c r="H33" s="59">
        <f>(SUM(H24:H31))</f>
        <v>395</v>
      </c>
      <c r="I33" s="59">
        <f>(SUM(I24:I31))</f>
        <v>115</v>
      </c>
      <c r="J33" s="70">
        <f>((SUM(J24:J31)))/7</f>
        <v>37.554543956756561</v>
      </c>
    </row>
    <row r="34" spans="1:10" ht="24" customHeight="1" x14ac:dyDescent="0.3">
      <c r="A34" s="26" t="s">
        <v>16</v>
      </c>
      <c r="B34" s="27"/>
      <c r="C34" s="27"/>
      <c r="D34" s="28"/>
      <c r="E34" s="27"/>
      <c r="F34" s="27"/>
      <c r="G34" s="27"/>
      <c r="H34" s="27"/>
      <c r="I34" s="27"/>
      <c r="J34" s="28"/>
    </row>
    <row r="35" spans="1:10" ht="24" customHeight="1" x14ac:dyDescent="0.3">
      <c r="A35" s="26" t="s">
        <v>17</v>
      </c>
      <c r="B35" s="27"/>
      <c r="C35" s="27"/>
      <c r="D35" s="28"/>
      <c r="E35" s="27"/>
      <c r="F35" s="27"/>
      <c r="G35" s="27"/>
      <c r="H35" s="27"/>
      <c r="I35" s="27"/>
      <c r="J35" s="28"/>
    </row>
    <row r="36" spans="1:10" ht="24" customHeight="1" x14ac:dyDescent="0.3">
      <c r="A36" s="26" t="s">
        <v>18</v>
      </c>
      <c r="B36" s="27"/>
      <c r="C36" s="27"/>
      <c r="D36" s="28"/>
      <c r="E36" s="27"/>
      <c r="F36" s="27"/>
      <c r="G36" s="27"/>
      <c r="H36" s="27"/>
      <c r="I36" s="27"/>
      <c r="J36" s="28"/>
    </row>
    <row r="37" spans="1:10" ht="24" customHeight="1" x14ac:dyDescent="0.3">
      <c r="A37" s="26" t="s">
        <v>19</v>
      </c>
      <c r="B37" s="27"/>
      <c r="C37" s="27"/>
      <c r="D37" s="28"/>
      <c r="E37" s="27"/>
      <c r="F37" s="27"/>
      <c r="G37" s="27"/>
      <c r="H37" s="27"/>
      <c r="I37" s="27"/>
      <c r="J37" s="28"/>
    </row>
    <row r="38" spans="1:10" s="14" customFormat="1" x14ac:dyDescent="0.3"/>
    <row r="39" spans="1:10" s="14" customFormat="1" x14ac:dyDescent="0.3"/>
    <row r="40" spans="1:10" s="14" customFormat="1" x14ac:dyDescent="0.3"/>
    <row r="41" spans="1:10" s="14" customFormat="1" x14ac:dyDescent="0.3"/>
    <row r="42" spans="1:10" s="14" customFormat="1" x14ac:dyDescent="0.3"/>
    <row r="43" spans="1:10" s="14" customFormat="1" x14ac:dyDescent="0.3"/>
    <row r="44" spans="1:10" s="14" customFormat="1" x14ac:dyDescent="0.3"/>
    <row r="45" spans="1:10" s="14" customFormat="1" x14ac:dyDescent="0.3"/>
  </sheetData>
  <mergeCells count="18">
    <mergeCell ref="G22:I22"/>
    <mergeCell ref="J22:J23"/>
    <mergeCell ref="A2:J2"/>
    <mergeCell ref="F3:F4"/>
    <mergeCell ref="G3:I3"/>
    <mergeCell ref="J3:J4"/>
    <mergeCell ref="A22:A23"/>
    <mergeCell ref="B22:B23"/>
    <mergeCell ref="C22:C23"/>
    <mergeCell ref="D22:D23"/>
    <mergeCell ref="E22:E23"/>
    <mergeCell ref="A3:A4"/>
    <mergeCell ref="B3:B4"/>
    <mergeCell ref="C3:C4"/>
    <mergeCell ref="D3:D4"/>
    <mergeCell ref="E3:E4"/>
    <mergeCell ref="A21:J21"/>
    <mergeCell ref="F22:F23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I12" sqref="I12"/>
    </sheetView>
  </sheetViews>
  <sheetFormatPr baseColWidth="10" defaultRowHeight="15" x14ac:dyDescent="0.25"/>
  <cols>
    <col min="1" max="1" width="11.85546875" customWidth="1"/>
    <col min="2" max="2" width="18.85546875" customWidth="1"/>
    <col min="3" max="4" width="18.28515625" customWidth="1"/>
    <col min="5" max="5" width="20.42578125" customWidth="1"/>
    <col min="6" max="6" width="14" customWidth="1"/>
    <col min="7" max="7" width="14.7109375" customWidth="1"/>
    <col min="8" max="8" width="18.140625" customWidth="1"/>
    <col min="9" max="9" width="15" customWidth="1"/>
    <col min="10" max="10" width="16.140625" customWidth="1"/>
    <col min="11" max="11" width="16.42578125" customWidth="1"/>
    <col min="12" max="12" width="21.42578125" customWidth="1"/>
  </cols>
  <sheetData>
    <row r="1" spans="1:11" s="8" customFormat="1" x14ac:dyDescent="0.25"/>
    <row r="2" spans="1:11" s="8" customFormat="1" ht="40.5" customHeight="1" x14ac:dyDescent="0.25">
      <c r="A2" s="101" t="s">
        <v>158</v>
      </c>
      <c r="B2" s="102"/>
      <c r="C2" s="102"/>
      <c r="D2" s="102"/>
      <c r="E2" s="102"/>
      <c r="F2" s="102"/>
      <c r="G2" s="102"/>
      <c r="H2" s="102"/>
      <c r="I2" s="102"/>
      <c r="J2" s="102"/>
      <c r="K2" s="103"/>
    </row>
    <row r="3" spans="1:11" ht="39" customHeight="1" x14ac:dyDescent="0.25">
      <c r="A3" s="20" t="s">
        <v>64</v>
      </c>
      <c r="B3" s="21" t="s">
        <v>21</v>
      </c>
      <c r="C3" s="21" t="s">
        <v>22</v>
      </c>
      <c r="D3" s="21" t="s">
        <v>23</v>
      </c>
      <c r="E3" s="21" t="s">
        <v>65</v>
      </c>
      <c r="F3" s="21" t="s">
        <v>48</v>
      </c>
      <c r="G3" s="21" t="s">
        <v>49</v>
      </c>
      <c r="H3" s="21" t="s">
        <v>66</v>
      </c>
      <c r="I3" s="21" t="s">
        <v>96</v>
      </c>
      <c r="J3" s="21" t="s">
        <v>99</v>
      </c>
      <c r="K3" s="22" t="s">
        <v>90</v>
      </c>
    </row>
    <row r="4" spans="1:11" ht="23.25" customHeight="1" x14ac:dyDescent="0.25">
      <c r="A4" s="43">
        <v>2018</v>
      </c>
      <c r="B4" s="37">
        <v>20871</v>
      </c>
      <c r="C4" s="37">
        <v>4785</v>
      </c>
      <c r="D4" s="37">
        <v>2169</v>
      </c>
      <c r="E4" s="37">
        <v>2213</v>
      </c>
      <c r="F4" s="38">
        <v>768</v>
      </c>
      <c r="G4" s="38">
        <v>33</v>
      </c>
      <c r="H4" s="37">
        <v>31475</v>
      </c>
      <c r="I4" s="37">
        <v>30839</v>
      </c>
      <c r="J4" s="35">
        <v>0</v>
      </c>
      <c r="K4" s="36">
        <v>0</v>
      </c>
    </row>
    <row r="5" spans="1:11" ht="23.25" customHeight="1" x14ac:dyDescent="0.25">
      <c r="A5" s="43">
        <v>2019</v>
      </c>
      <c r="B5" s="37">
        <v>21163</v>
      </c>
      <c r="C5" s="37">
        <v>3964</v>
      </c>
      <c r="D5" s="37">
        <v>2303</v>
      </c>
      <c r="E5" s="37">
        <v>1476</v>
      </c>
      <c r="F5" s="38">
        <v>460</v>
      </c>
      <c r="G5" s="38">
        <v>32</v>
      </c>
      <c r="H5" s="37">
        <v>30145</v>
      </c>
      <c r="I5" s="37">
        <v>29398</v>
      </c>
      <c r="J5" s="35">
        <v>0</v>
      </c>
      <c r="K5" s="36">
        <v>0</v>
      </c>
    </row>
    <row r="6" spans="1:11" ht="23.25" customHeight="1" x14ac:dyDescent="0.25">
      <c r="A6" s="43">
        <v>2020</v>
      </c>
      <c r="B6" s="37">
        <v>14840</v>
      </c>
      <c r="C6" s="37">
        <v>3797</v>
      </c>
      <c r="D6" s="37">
        <v>1133</v>
      </c>
      <c r="E6" s="38">
        <v>434</v>
      </c>
      <c r="F6" s="38">
        <v>178</v>
      </c>
      <c r="G6" s="38">
        <v>46</v>
      </c>
      <c r="H6" s="37">
        <v>20749</v>
      </c>
      <c r="I6" s="37">
        <v>20428</v>
      </c>
      <c r="J6" s="35">
        <v>0</v>
      </c>
      <c r="K6" s="36">
        <v>0</v>
      </c>
    </row>
    <row r="7" spans="1:11" ht="23.25" customHeight="1" x14ac:dyDescent="0.25">
      <c r="A7" s="43">
        <v>2021</v>
      </c>
      <c r="B7" s="37">
        <v>12740</v>
      </c>
      <c r="C7" s="37">
        <v>4787</v>
      </c>
      <c r="D7" s="37">
        <v>2131</v>
      </c>
      <c r="E7" s="38">
        <v>547</v>
      </c>
      <c r="F7" s="38">
        <v>461</v>
      </c>
      <c r="G7" s="38">
        <v>27</v>
      </c>
      <c r="H7" s="37">
        <v>21192</v>
      </c>
      <c r="I7" s="37">
        <v>20693</v>
      </c>
      <c r="J7" s="35">
        <v>0</v>
      </c>
      <c r="K7" s="36">
        <v>0</v>
      </c>
    </row>
    <row r="8" spans="1:11" ht="23.25" customHeight="1" x14ac:dyDescent="0.25">
      <c r="A8" s="43">
        <v>2022</v>
      </c>
      <c r="B8" s="37">
        <v>17144</v>
      </c>
      <c r="C8" s="37">
        <v>4217</v>
      </c>
      <c r="D8" s="37">
        <v>2275</v>
      </c>
      <c r="E8" s="37">
        <v>1349</v>
      </c>
      <c r="F8" s="38">
        <v>734</v>
      </c>
      <c r="G8" s="38">
        <v>33</v>
      </c>
      <c r="H8" s="37">
        <v>26485</v>
      </c>
      <c r="I8" s="37">
        <v>25752</v>
      </c>
      <c r="J8" s="35">
        <v>0</v>
      </c>
      <c r="K8" s="36">
        <v>0</v>
      </c>
    </row>
    <row r="9" spans="1:11" ht="23.25" customHeight="1" x14ac:dyDescent="0.25">
      <c r="A9" s="43">
        <v>2023</v>
      </c>
      <c r="B9" s="37">
        <v>15618</v>
      </c>
      <c r="C9" s="37">
        <v>3279</v>
      </c>
      <c r="D9" s="37">
        <v>1996</v>
      </c>
      <c r="E9" s="37">
        <v>1088</v>
      </c>
      <c r="F9" s="38">
        <v>697</v>
      </c>
      <c r="G9" s="38">
        <v>33</v>
      </c>
      <c r="H9" s="37">
        <v>23759</v>
      </c>
      <c r="I9" s="37">
        <v>22711</v>
      </c>
      <c r="J9" s="35">
        <v>0</v>
      </c>
      <c r="K9" s="36">
        <v>0</v>
      </c>
    </row>
    <row r="10" spans="1:11" ht="23.25" customHeight="1" x14ac:dyDescent="0.25">
      <c r="A10" s="43">
        <v>2024</v>
      </c>
      <c r="B10" s="37">
        <v>13292</v>
      </c>
      <c r="C10" s="37">
        <v>3354</v>
      </c>
      <c r="D10" s="37">
        <v>1956</v>
      </c>
      <c r="E10" s="37">
        <v>1106</v>
      </c>
      <c r="F10" s="38">
        <v>1117</v>
      </c>
      <c r="G10" s="38">
        <v>32</v>
      </c>
      <c r="H10" s="37">
        <v>21940</v>
      </c>
      <c r="I10" s="37">
        <v>20857</v>
      </c>
      <c r="J10" s="35">
        <v>0</v>
      </c>
      <c r="K10" s="36">
        <v>0</v>
      </c>
    </row>
    <row r="11" spans="1:11" ht="23.25" customHeight="1" x14ac:dyDescent="0.25">
      <c r="A11" s="43">
        <v>2025</v>
      </c>
      <c r="B11" s="75">
        <v>12418</v>
      </c>
      <c r="C11" s="75">
        <v>3394</v>
      </c>
      <c r="D11" s="75">
        <v>1821</v>
      </c>
      <c r="E11" s="75">
        <v>1101</v>
      </c>
      <c r="F11" s="76">
        <v>1073</v>
      </c>
      <c r="G11" s="76">
        <v>37</v>
      </c>
      <c r="H11" s="75">
        <v>20863</v>
      </c>
      <c r="I11" s="75">
        <v>19844</v>
      </c>
      <c r="J11" s="75">
        <v>0</v>
      </c>
      <c r="K11" s="75">
        <v>0</v>
      </c>
    </row>
    <row r="12" spans="1:11" ht="23.25" customHeight="1" x14ac:dyDescent="0.25">
      <c r="A12" s="55">
        <v>2026</v>
      </c>
      <c r="B12" s="92">
        <v>6972</v>
      </c>
      <c r="C12" s="92">
        <v>1987</v>
      </c>
      <c r="D12" s="92">
        <v>790</v>
      </c>
      <c r="E12" s="92">
        <v>549</v>
      </c>
      <c r="F12" s="92">
        <v>704</v>
      </c>
      <c r="G12" s="92">
        <v>21</v>
      </c>
      <c r="H12" s="92">
        <v>11615</v>
      </c>
      <c r="I12" s="92">
        <v>11023</v>
      </c>
      <c r="J12" s="77">
        <v>0</v>
      </c>
      <c r="K12" s="77">
        <v>0</v>
      </c>
    </row>
    <row r="13" spans="1:11" s="41" customFormat="1" ht="24" customHeight="1" x14ac:dyDescent="0.3">
      <c r="A13" s="39" t="s">
        <v>20</v>
      </c>
      <c r="B13" s="40">
        <f>SUM(B4:B12)</f>
        <v>135058</v>
      </c>
      <c r="C13" s="40">
        <f t="shared" ref="C13:K13" si="0">SUM(C4:C12)</f>
        <v>33564</v>
      </c>
      <c r="D13" s="40">
        <f t="shared" si="0"/>
        <v>16574</v>
      </c>
      <c r="E13" s="40">
        <f t="shared" si="0"/>
        <v>9863</v>
      </c>
      <c r="F13" s="40">
        <f t="shared" si="0"/>
        <v>6192</v>
      </c>
      <c r="G13" s="40">
        <f t="shared" si="0"/>
        <v>294</v>
      </c>
      <c r="H13" s="40">
        <f t="shared" si="0"/>
        <v>208223</v>
      </c>
      <c r="I13" s="40">
        <f t="shared" si="0"/>
        <v>201545</v>
      </c>
      <c r="J13" s="40">
        <f t="shared" si="0"/>
        <v>0</v>
      </c>
      <c r="K13" s="69">
        <f t="shared" si="0"/>
        <v>0</v>
      </c>
    </row>
    <row r="15" spans="1:11" x14ac:dyDescent="0.25">
      <c r="H15" s="23"/>
      <c r="I15" s="23"/>
    </row>
    <row r="16" spans="1:11" x14ac:dyDescent="0.25">
      <c r="H16" s="23"/>
      <c r="I16" s="23"/>
    </row>
    <row r="17" spans="8:9" x14ac:dyDescent="0.25">
      <c r="H17" s="23"/>
      <c r="I17" s="23"/>
    </row>
    <row r="18" spans="8:9" x14ac:dyDescent="0.25">
      <c r="H18" s="23"/>
      <c r="I18" s="23"/>
    </row>
  </sheetData>
  <mergeCells count="1">
    <mergeCell ref="A2:K2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F4" zoomScale="115" zoomScaleNormal="115" workbookViewId="0">
      <selection activeCell="H4" sqref="H4:O12"/>
    </sheetView>
  </sheetViews>
  <sheetFormatPr baseColWidth="10" defaultRowHeight="15" x14ac:dyDescent="0.25"/>
  <cols>
    <col min="1" max="1" width="9.5703125" customWidth="1"/>
    <col min="2" max="2" width="15.7109375" customWidth="1"/>
    <col min="3" max="3" width="14" customWidth="1"/>
    <col min="4" max="4" width="11.140625" customWidth="1"/>
    <col min="5" max="5" width="23" customWidth="1"/>
    <col min="6" max="6" width="20.42578125" customWidth="1"/>
    <col min="7" max="7" width="18.42578125" customWidth="1"/>
    <col min="8" max="8" width="9.28515625" bestFit="1" customWidth="1"/>
    <col min="9" max="9" width="21.85546875" customWidth="1"/>
    <col min="10" max="10" width="23.42578125" customWidth="1"/>
    <col min="12" max="12" width="13.28515625" customWidth="1"/>
    <col min="13" max="13" width="12.85546875" customWidth="1"/>
    <col min="15" max="15" width="22.42578125" customWidth="1"/>
  </cols>
  <sheetData>
    <row r="1" spans="1:17" s="8" customFormat="1" x14ac:dyDescent="0.25"/>
    <row r="2" spans="1:17" s="8" customFormat="1" ht="15.75" x14ac:dyDescent="0.25">
      <c r="A2" s="104" t="s">
        <v>63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7" ht="19.5" customHeight="1" x14ac:dyDescent="0.25">
      <c r="A3" s="106" t="s">
        <v>134</v>
      </c>
      <c r="B3" s="106"/>
      <c r="C3" s="106"/>
      <c r="D3" s="106"/>
      <c r="E3" s="106"/>
      <c r="F3" s="106"/>
      <c r="G3" s="106"/>
      <c r="H3" s="106"/>
      <c r="I3" s="106"/>
      <c r="J3" s="106"/>
      <c r="K3" s="8"/>
      <c r="L3" s="8"/>
      <c r="M3" s="8"/>
      <c r="N3" s="8"/>
      <c r="O3" s="8"/>
    </row>
    <row r="4" spans="1:17" s="67" customFormat="1" ht="66" customHeight="1" x14ac:dyDescent="0.2">
      <c r="A4" s="65" t="s">
        <v>24</v>
      </c>
      <c r="B4" s="65" t="s">
        <v>139</v>
      </c>
      <c r="C4" s="65" t="s">
        <v>127</v>
      </c>
      <c r="D4" s="65" t="s">
        <v>128</v>
      </c>
      <c r="E4" s="65" t="s">
        <v>129</v>
      </c>
      <c r="F4" s="65" t="s">
        <v>135</v>
      </c>
      <c r="G4" s="65" t="s">
        <v>137</v>
      </c>
      <c r="H4" s="65" t="s">
        <v>24</v>
      </c>
      <c r="I4" s="66" t="s">
        <v>136</v>
      </c>
      <c r="J4" s="66" t="s">
        <v>130</v>
      </c>
      <c r="K4" s="65" t="s">
        <v>131</v>
      </c>
      <c r="L4" s="65" t="s">
        <v>132</v>
      </c>
      <c r="M4" s="65" t="s">
        <v>133</v>
      </c>
      <c r="N4" s="65" t="s">
        <v>128</v>
      </c>
      <c r="O4" s="65" t="s">
        <v>138</v>
      </c>
    </row>
    <row r="5" spans="1:17" s="44" customFormat="1" ht="22.5" customHeight="1" x14ac:dyDescent="0.25">
      <c r="A5" s="68" t="s">
        <v>8</v>
      </c>
      <c r="B5" s="64">
        <v>18</v>
      </c>
      <c r="C5" s="64">
        <v>14</v>
      </c>
      <c r="D5" s="63">
        <f t="shared" ref="D5:D12" si="0">(C5/B5)*100</f>
        <v>77.777777777777786</v>
      </c>
      <c r="E5" s="64">
        <v>211</v>
      </c>
      <c r="F5" s="64">
        <v>23</v>
      </c>
      <c r="G5" s="64">
        <v>15</v>
      </c>
      <c r="H5" s="68" t="s">
        <v>8</v>
      </c>
      <c r="I5" s="64">
        <v>48</v>
      </c>
      <c r="J5" s="64">
        <v>48</v>
      </c>
      <c r="K5" s="63">
        <f t="shared" ref="K5:K12" si="1">J5/I5*100</f>
        <v>100</v>
      </c>
      <c r="L5" s="64">
        <v>2340</v>
      </c>
      <c r="M5" s="64">
        <v>2275</v>
      </c>
      <c r="N5" s="63">
        <f t="shared" ref="N5:N9" si="2">M5/L5*100</f>
        <v>97.222222222222214</v>
      </c>
      <c r="O5" s="63">
        <v>743.77</v>
      </c>
    </row>
    <row r="6" spans="1:17" s="44" customFormat="1" ht="22.5" customHeight="1" x14ac:dyDescent="0.25">
      <c r="A6" s="68" t="s">
        <v>9</v>
      </c>
      <c r="B6" s="64">
        <v>18</v>
      </c>
      <c r="C6" s="64">
        <v>16</v>
      </c>
      <c r="D6" s="63">
        <f t="shared" si="0"/>
        <v>88.888888888888886</v>
      </c>
      <c r="E6" s="64">
        <v>143</v>
      </c>
      <c r="F6" s="64">
        <v>22</v>
      </c>
      <c r="G6" s="64">
        <v>15</v>
      </c>
      <c r="H6" s="68" t="s">
        <v>9</v>
      </c>
      <c r="I6" s="64">
        <v>48</v>
      </c>
      <c r="J6" s="64">
        <v>48</v>
      </c>
      <c r="K6" s="63">
        <f t="shared" si="1"/>
        <v>100</v>
      </c>
      <c r="L6" s="64">
        <v>2340</v>
      </c>
      <c r="M6" s="64">
        <v>2325</v>
      </c>
      <c r="N6" s="63">
        <f t="shared" si="2"/>
        <v>99.358974358974365</v>
      </c>
      <c r="O6" s="63">
        <v>1042.76</v>
      </c>
    </row>
    <row r="7" spans="1:17" s="9" customFormat="1" ht="22.5" customHeight="1" x14ac:dyDescent="0.25">
      <c r="A7" s="68" t="s">
        <v>10</v>
      </c>
      <c r="B7" s="64">
        <v>18</v>
      </c>
      <c r="C7" s="64">
        <v>15</v>
      </c>
      <c r="D7" s="63">
        <f t="shared" si="0"/>
        <v>83.333333333333343</v>
      </c>
      <c r="E7" s="64">
        <v>84</v>
      </c>
      <c r="F7" s="64">
        <v>22</v>
      </c>
      <c r="G7" s="64">
        <v>14</v>
      </c>
      <c r="H7" s="68" t="s">
        <v>10</v>
      </c>
      <c r="I7" s="64">
        <v>50</v>
      </c>
      <c r="J7" s="64">
        <v>50</v>
      </c>
      <c r="K7" s="63">
        <f t="shared" si="1"/>
        <v>100</v>
      </c>
      <c r="L7" s="64">
        <v>2340</v>
      </c>
      <c r="M7" s="64">
        <v>2320</v>
      </c>
      <c r="N7" s="63">
        <f t="shared" si="2"/>
        <v>99.145299145299148</v>
      </c>
      <c r="O7" s="63">
        <v>1043.76</v>
      </c>
    </row>
    <row r="8" spans="1:17" s="9" customFormat="1" ht="22.5" customHeight="1" x14ac:dyDescent="0.25">
      <c r="A8" s="68" t="s">
        <v>11</v>
      </c>
      <c r="B8" s="64">
        <v>18</v>
      </c>
      <c r="C8" s="64">
        <v>15</v>
      </c>
      <c r="D8" s="63">
        <f t="shared" si="0"/>
        <v>83.333333333333343</v>
      </c>
      <c r="E8" s="64">
        <v>50</v>
      </c>
      <c r="F8" s="64">
        <v>21</v>
      </c>
      <c r="G8" s="64">
        <v>13</v>
      </c>
      <c r="H8" s="68" t="s">
        <v>11</v>
      </c>
      <c r="I8" s="64">
        <v>50</v>
      </c>
      <c r="J8" s="64">
        <v>49</v>
      </c>
      <c r="K8" s="63">
        <f t="shared" si="1"/>
        <v>98</v>
      </c>
      <c r="L8" s="64">
        <v>2336</v>
      </c>
      <c r="M8" s="64">
        <v>2324</v>
      </c>
      <c r="N8" s="63">
        <f t="shared" si="2"/>
        <v>99.486301369863014</v>
      </c>
      <c r="O8" s="63">
        <v>1044.76</v>
      </c>
    </row>
    <row r="9" spans="1:17" s="9" customFormat="1" ht="22.5" customHeight="1" x14ac:dyDescent="0.25">
      <c r="A9" s="68" t="s">
        <v>12</v>
      </c>
      <c r="B9" s="64">
        <v>18</v>
      </c>
      <c r="C9" s="64">
        <v>16</v>
      </c>
      <c r="D9" s="63">
        <f t="shared" si="0"/>
        <v>88.888888888888886</v>
      </c>
      <c r="E9" s="64">
        <v>122</v>
      </c>
      <c r="F9" s="64">
        <v>23</v>
      </c>
      <c r="G9" s="64">
        <v>15</v>
      </c>
      <c r="H9" s="68" t="s">
        <v>12</v>
      </c>
      <c r="I9" s="64">
        <v>49</v>
      </c>
      <c r="J9" s="64">
        <v>49</v>
      </c>
      <c r="K9" s="63">
        <f t="shared" si="1"/>
        <v>100</v>
      </c>
      <c r="L9" s="64">
        <v>2340</v>
      </c>
      <c r="M9" s="64">
        <v>2328</v>
      </c>
      <c r="N9" s="63">
        <f t="shared" si="2"/>
        <v>99.487179487179489</v>
      </c>
      <c r="O9" s="63">
        <v>3347</v>
      </c>
    </row>
    <row r="10" spans="1:17" s="9" customFormat="1" ht="22.5" customHeight="1" x14ac:dyDescent="0.25">
      <c r="A10" s="68" t="s">
        <v>13</v>
      </c>
      <c r="B10" s="64">
        <v>12</v>
      </c>
      <c r="C10" s="64">
        <v>11</v>
      </c>
      <c r="D10" s="63">
        <f t="shared" ref="D10:D11" si="3">(C10/B10)*100</f>
        <v>91.666666666666657</v>
      </c>
      <c r="E10" s="64">
        <v>143</v>
      </c>
      <c r="F10" s="64">
        <v>22</v>
      </c>
      <c r="G10" s="64">
        <v>16</v>
      </c>
      <c r="H10" s="68" t="s">
        <v>13</v>
      </c>
      <c r="I10" s="64">
        <v>47</v>
      </c>
      <c r="J10" s="64">
        <v>47</v>
      </c>
      <c r="K10" s="63">
        <f t="shared" ref="K10:K11" si="4">J10/I10*100</f>
        <v>100</v>
      </c>
      <c r="L10" s="64">
        <v>2340</v>
      </c>
      <c r="M10" s="64">
        <v>2328</v>
      </c>
      <c r="N10" s="63">
        <f t="shared" ref="N10" si="5">M10/L10*100</f>
        <v>99.487179487179489</v>
      </c>
      <c r="O10" s="63">
        <v>2697</v>
      </c>
    </row>
    <row r="11" spans="1:17" s="9" customFormat="1" ht="22.5" customHeight="1" x14ac:dyDescent="0.25">
      <c r="A11" s="68" t="s">
        <v>14</v>
      </c>
      <c r="B11" s="64">
        <v>8</v>
      </c>
      <c r="C11" s="64">
        <v>8</v>
      </c>
      <c r="D11" s="63">
        <f t="shared" si="3"/>
        <v>100</v>
      </c>
      <c r="E11" s="64">
        <v>281</v>
      </c>
      <c r="F11" s="64">
        <v>22</v>
      </c>
      <c r="G11" s="64">
        <v>16</v>
      </c>
      <c r="H11" s="68" t="s">
        <v>14</v>
      </c>
      <c r="I11" s="64">
        <v>58</v>
      </c>
      <c r="J11" s="64">
        <v>56</v>
      </c>
      <c r="K11" s="63">
        <f t="shared" si="4"/>
        <v>96.551724137931032</v>
      </c>
      <c r="L11" s="64">
        <v>2795</v>
      </c>
      <c r="M11" s="64">
        <v>2791</v>
      </c>
      <c r="N11" s="63">
        <f t="shared" ref="N11:N12" si="6">M11/L11*100</f>
        <v>99.856887298747765</v>
      </c>
      <c r="O11" s="63">
        <v>3382</v>
      </c>
      <c r="Q11" s="82"/>
    </row>
    <row r="12" spans="1:17" s="9" customFormat="1" ht="22.5" customHeight="1" x14ac:dyDescent="0.25">
      <c r="A12" s="68" t="s">
        <v>15</v>
      </c>
      <c r="B12" s="64">
        <v>5</v>
      </c>
      <c r="C12" s="64">
        <v>5</v>
      </c>
      <c r="D12" s="63">
        <f t="shared" si="0"/>
        <v>100</v>
      </c>
      <c r="E12" s="64">
        <v>44</v>
      </c>
      <c r="F12" s="64">
        <v>25</v>
      </c>
      <c r="G12" s="64">
        <v>16</v>
      </c>
      <c r="H12" s="68" t="s">
        <v>15</v>
      </c>
      <c r="I12" s="64">
        <v>34</v>
      </c>
      <c r="J12" s="64">
        <v>34</v>
      </c>
      <c r="K12" s="63">
        <f t="shared" si="1"/>
        <v>100</v>
      </c>
      <c r="L12" s="64">
        <v>2145</v>
      </c>
      <c r="M12" s="64">
        <v>2131</v>
      </c>
      <c r="N12" s="63">
        <f t="shared" si="6"/>
        <v>99.347319347319356</v>
      </c>
      <c r="O12" s="63">
        <v>3240</v>
      </c>
      <c r="Q12" s="82"/>
    </row>
    <row r="13" spans="1:17" ht="22.5" customHeight="1" x14ac:dyDescent="0.25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</row>
    <row r="14" spans="1:17" ht="22.5" customHeight="1" x14ac:dyDescent="0.25">
      <c r="A14" s="63" t="s">
        <v>140</v>
      </c>
      <c r="B14" s="64">
        <f>SUM(B5:B12)</f>
        <v>115</v>
      </c>
      <c r="C14" s="64">
        <f t="shared" ref="C14:M14" si="7">SUM(C5:C12)</f>
        <v>100</v>
      </c>
      <c r="D14" s="63">
        <f>(SUM(D5:D12))/7</f>
        <v>101.98412698412699</v>
      </c>
      <c r="E14" s="64">
        <f>SUM(E5:E12)</f>
        <v>1078</v>
      </c>
      <c r="F14" s="64">
        <f>SUM(F5:F12)</f>
        <v>180</v>
      </c>
      <c r="G14" s="64">
        <f t="shared" si="7"/>
        <v>120</v>
      </c>
      <c r="H14" s="64"/>
      <c r="I14" s="64">
        <f t="shared" si="7"/>
        <v>384</v>
      </c>
      <c r="J14" s="64">
        <f t="shared" si="7"/>
        <v>381</v>
      </c>
      <c r="K14" s="64">
        <f>(SUM(K5:K12))/7</f>
        <v>113.50738916256158</v>
      </c>
      <c r="L14" s="64">
        <f>SUM(L5:L12)</f>
        <v>18976</v>
      </c>
      <c r="M14" s="64">
        <f t="shared" si="7"/>
        <v>18822</v>
      </c>
      <c r="N14" s="63">
        <f>(SUM(N5:N12))/7</f>
        <v>113.34162324525498</v>
      </c>
      <c r="O14" s="63">
        <f>SUM(O5:O12)</f>
        <v>16541.05</v>
      </c>
      <c r="Q14" s="83"/>
    </row>
    <row r="15" spans="1:17" ht="22.5" customHeight="1" x14ac:dyDescent="0.25">
      <c r="A15" s="50" t="s">
        <v>16</v>
      </c>
      <c r="B15" s="46"/>
      <c r="C15" s="46"/>
      <c r="D15" s="4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7" ht="22.5" customHeight="1" x14ac:dyDescent="0.25">
      <c r="A16" s="50" t="s">
        <v>17</v>
      </c>
      <c r="B16" s="46"/>
      <c r="C16" s="46"/>
      <c r="D16" s="4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5" ht="30" customHeight="1" x14ac:dyDescent="0.25">
      <c r="A17" s="50" t="s">
        <v>18</v>
      </c>
      <c r="B17" s="46"/>
      <c r="C17" s="46"/>
      <c r="D17" s="4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ht="30" customHeight="1" x14ac:dyDescent="0.25">
      <c r="A18" s="50" t="s">
        <v>19</v>
      </c>
      <c r="B18" s="46"/>
      <c r="C18" s="46"/>
      <c r="D18" s="4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ht="23.25" customHeight="1" x14ac:dyDescent="0.25"/>
    <row r="20" spans="1:15" ht="21" customHeight="1" x14ac:dyDescent="0.25"/>
  </sheetData>
  <mergeCells count="3">
    <mergeCell ref="A2:J2"/>
    <mergeCell ref="A3:J3"/>
    <mergeCell ref="A13:P13"/>
  </mergeCells>
  <phoneticPr fontId="1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topLeftCell="A31" zoomScaleNormal="100" workbookViewId="0">
      <selection activeCell="D50" sqref="D50"/>
    </sheetView>
  </sheetViews>
  <sheetFormatPr baseColWidth="10" defaultRowHeight="15" x14ac:dyDescent="0.25"/>
  <cols>
    <col min="1" max="1" width="37.7109375" customWidth="1"/>
    <col min="2" max="2" width="18.28515625" customWidth="1"/>
    <col min="3" max="3" width="17.7109375" customWidth="1"/>
    <col min="4" max="4" width="15.5703125" customWidth="1"/>
    <col min="5" max="5" width="19" customWidth="1"/>
    <col min="7" max="7" width="11.140625" customWidth="1"/>
  </cols>
  <sheetData>
    <row r="1" spans="1:23" x14ac:dyDescent="0.25">
      <c r="A1" s="8"/>
      <c r="B1" s="8"/>
      <c r="C1" s="8"/>
      <c r="D1" s="8"/>
      <c r="E1" s="8"/>
    </row>
    <row r="2" spans="1:23" ht="25.5" customHeight="1" x14ac:dyDescent="0.25">
      <c r="A2" s="106" t="s">
        <v>159</v>
      </c>
      <c r="B2" s="106"/>
      <c r="C2" s="106"/>
      <c r="D2" s="106"/>
      <c r="E2" s="106"/>
    </row>
    <row r="3" spans="1:23" ht="31.5" x14ac:dyDescent="0.25">
      <c r="A3" s="2" t="s">
        <v>25</v>
      </c>
      <c r="B3" s="11" t="s">
        <v>26</v>
      </c>
      <c r="C3" s="11" t="s">
        <v>27</v>
      </c>
      <c r="D3" s="11" t="s">
        <v>28</v>
      </c>
      <c r="E3" s="11" t="s">
        <v>97</v>
      </c>
    </row>
    <row r="4" spans="1:23" s="8" customFormat="1" ht="21" customHeight="1" x14ac:dyDescent="0.25">
      <c r="A4" s="17" t="s">
        <v>107</v>
      </c>
      <c r="B4" s="3">
        <v>4</v>
      </c>
      <c r="C4" s="3">
        <v>9</v>
      </c>
      <c r="D4" s="3">
        <v>2</v>
      </c>
      <c r="E4" s="3">
        <v>7</v>
      </c>
    </row>
    <row r="5" spans="1:23" s="8" customFormat="1" ht="21" customHeight="1" x14ac:dyDescent="0.25">
      <c r="A5" s="17" t="s">
        <v>108</v>
      </c>
      <c r="B5" s="3">
        <v>1</v>
      </c>
      <c r="C5" s="3">
        <v>2</v>
      </c>
      <c r="D5" s="3">
        <v>1</v>
      </c>
      <c r="E5" s="3">
        <v>1</v>
      </c>
    </row>
    <row r="6" spans="1:23" s="8" customFormat="1" ht="21" customHeight="1" x14ac:dyDescent="0.25">
      <c r="A6" s="17" t="s">
        <v>109</v>
      </c>
      <c r="B6" s="3">
        <v>4</v>
      </c>
      <c r="C6" s="3">
        <v>5</v>
      </c>
      <c r="D6" s="3">
        <v>2</v>
      </c>
      <c r="E6" s="3">
        <v>3</v>
      </c>
    </row>
    <row r="7" spans="1:23" s="8" customFormat="1" ht="21" customHeight="1" x14ac:dyDescent="0.25">
      <c r="A7" s="17" t="s">
        <v>110</v>
      </c>
      <c r="B7" s="3">
        <v>9</v>
      </c>
      <c r="C7" s="3">
        <v>6</v>
      </c>
      <c r="D7" s="3">
        <v>2</v>
      </c>
      <c r="E7" s="3">
        <v>4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s="8" customFormat="1" ht="21" customHeight="1" x14ac:dyDescent="0.25">
      <c r="A8" s="17" t="s">
        <v>111</v>
      </c>
      <c r="B8" s="3">
        <v>7</v>
      </c>
      <c r="C8" s="3">
        <v>8</v>
      </c>
      <c r="D8" s="3">
        <v>3</v>
      </c>
      <c r="E8" s="3">
        <v>5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s="8" customFormat="1" ht="21" customHeight="1" x14ac:dyDescent="0.25">
      <c r="A9" s="17" t="s">
        <v>112</v>
      </c>
      <c r="B9" s="3">
        <v>3</v>
      </c>
      <c r="C9" s="3">
        <v>3</v>
      </c>
      <c r="D9" s="3">
        <v>2</v>
      </c>
      <c r="E9" s="3">
        <v>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s="8" customFormat="1" ht="21" customHeight="1" x14ac:dyDescent="0.25">
      <c r="A10" s="17" t="s">
        <v>113</v>
      </c>
      <c r="B10" s="3">
        <v>6</v>
      </c>
      <c r="C10" s="3">
        <v>7</v>
      </c>
      <c r="D10" s="3">
        <v>2</v>
      </c>
      <c r="E10" s="3">
        <v>5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8" customFormat="1" ht="21" customHeight="1" x14ac:dyDescent="0.25">
      <c r="A11" s="17" t="s">
        <v>114</v>
      </c>
      <c r="B11" s="3">
        <v>43</v>
      </c>
      <c r="C11" s="3">
        <v>49</v>
      </c>
      <c r="D11" s="3">
        <v>23</v>
      </c>
      <c r="E11" s="3">
        <v>26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8" customFormat="1" ht="21" customHeight="1" x14ac:dyDescent="0.25">
      <c r="A12" s="17" t="s">
        <v>115</v>
      </c>
      <c r="B12" s="3">
        <v>11</v>
      </c>
      <c r="C12" s="3">
        <v>9</v>
      </c>
      <c r="D12" s="3">
        <v>5</v>
      </c>
      <c r="E12" s="3">
        <v>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8" customFormat="1" ht="21" customHeight="1" x14ac:dyDescent="0.25">
      <c r="A13" s="17" t="s">
        <v>116</v>
      </c>
      <c r="B13" s="3">
        <v>3</v>
      </c>
      <c r="C13" s="3">
        <v>3</v>
      </c>
      <c r="D13" s="3">
        <v>3</v>
      </c>
      <c r="E13" s="3">
        <v>0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s="8" customFormat="1" ht="21" customHeight="1" x14ac:dyDescent="0.25">
      <c r="A14" s="17" t="s">
        <v>117</v>
      </c>
      <c r="B14" s="3">
        <v>2</v>
      </c>
      <c r="C14" s="3">
        <v>2</v>
      </c>
      <c r="D14" s="3">
        <v>2</v>
      </c>
      <c r="E14" s="3">
        <v>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ht="21" customHeight="1" x14ac:dyDescent="0.25">
      <c r="A15" s="17" t="s">
        <v>118</v>
      </c>
      <c r="B15" s="3">
        <v>3</v>
      </c>
      <c r="C15" s="3">
        <v>2</v>
      </c>
      <c r="D15" s="3">
        <v>2</v>
      </c>
      <c r="E15" s="3">
        <v>0</v>
      </c>
    </row>
    <row r="16" spans="1:23" ht="21" customHeight="1" x14ac:dyDescent="0.25">
      <c r="A16" s="17" t="s">
        <v>119</v>
      </c>
      <c r="B16" s="3">
        <v>2</v>
      </c>
      <c r="C16" s="3">
        <v>1</v>
      </c>
      <c r="D16" s="3">
        <v>1</v>
      </c>
      <c r="E16" s="3">
        <v>0</v>
      </c>
    </row>
    <row r="17" spans="1:9" ht="22.5" customHeight="1" x14ac:dyDescent="0.25">
      <c r="A17" s="33" t="s">
        <v>86</v>
      </c>
      <c r="B17" s="34">
        <f>SUM(B4:B16)</f>
        <v>98</v>
      </c>
      <c r="C17" s="34">
        <f>SUM(C4:C16)</f>
        <v>106</v>
      </c>
      <c r="D17" s="34">
        <f>SUM(D4:D16)</f>
        <v>50</v>
      </c>
      <c r="E17" s="34">
        <f>SUM(E4:E16)</f>
        <v>56</v>
      </c>
    </row>
    <row r="18" spans="1:9" x14ac:dyDescent="0.25">
      <c r="A18" s="8"/>
      <c r="B18" s="8"/>
      <c r="C18" s="8"/>
      <c r="D18" s="8"/>
      <c r="E18" s="8"/>
    </row>
    <row r="19" spans="1:9" ht="33" customHeight="1" x14ac:dyDescent="0.25">
      <c r="A19" s="110" t="s">
        <v>160</v>
      </c>
      <c r="B19" s="110"/>
      <c r="C19" s="110"/>
      <c r="D19" s="110"/>
      <c r="E19" s="8"/>
    </row>
    <row r="20" spans="1:9" ht="31.5" x14ac:dyDescent="0.25">
      <c r="A20" s="2" t="s">
        <v>36</v>
      </c>
      <c r="B20" s="2" t="s">
        <v>37</v>
      </c>
      <c r="C20" s="2" t="s">
        <v>38</v>
      </c>
      <c r="D20" s="2" t="s">
        <v>39</v>
      </c>
      <c r="E20" s="8"/>
    </row>
    <row r="21" spans="1:9" ht="25.5" customHeight="1" x14ac:dyDescent="0.25">
      <c r="A21" s="4" t="s">
        <v>32</v>
      </c>
      <c r="B21" s="3">
        <v>29</v>
      </c>
      <c r="C21" s="3">
        <v>9</v>
      </c>
      <c r="D21" s="3">
        <v>52</v>
      </c>
      <c r="E21" s="8"/>
    </row>
    <row r="22" spans="1:9" ht="25.5" customHeight="1" x14ac:dyDescent="0.25">
      <c r="A22" s="4" t="s">
        <v>29</v>
      </c>
      <c r="B22" s="3">
        <v>48</v>
      </c>
      <c r="C22" s="3">
        <v>315</v>
      </c>
      <c r="D22" s="3"/>
      <c r="E22" s="8"/>
    </row>
    <row r="23" spans="1:9" ht="25.5" customHeight="1" x14ac:dyDescent="0.25">
      <c r="A23" s="4" t="s">
        <v>30</v>
      </c>
      <c r="B23" s="3">
        <v>18</v>
      </c>
      <c r="C23" s="3">
        <v>472</v>
      </c>
      <c r="D23" s="3"/>
      <c r="E23" s="8"/>
    </row>
    <row r="24" spans="1:9" ht="25.5" customHeight="1" x14ac:dyDescent="0.25">
      <c r="A24" s="4" t="s">
        <v>31</v>
      </c>
      <c r="B24" s="3">
        <v>2</v>
      </c>
      <c r="C24" s="3">
        <v>73</v>
      </c>
      <c r="D24" s="3">
        <v>5</v>
      </c>
      <c r="E24" s="8"/>
    </row>
    <row r="25" spans="1:9" ht="25.5" customHeight="1" x14ac:dyDescent="0.25">
      <c r="A25" s="4" t="s">
        <v>33</v>
      </c>
      <c r="B25" s="3">
        <v>24</v>
      </c>
      <c r="C25" s="3">
        <v>9</v>
      </c>
      <c r="D25" s="3"/>
      <c r="E25" s="8"/>
    </row>
    <row r="26" spans="1:9" ht="25.5" customHeight="1" x14ac:dyDescent="0.25">
      <c r="A26" s="4" t="s">
        <v>34</v>
      </c>
      <c r="B26" s="3">
        <v>5</v>
      </c>
      <c r="C26" s="3">
        <v>1</v>
      </c>
      <c r="D26" s="3"/>
      <c r="E26" s="8"/>
    </row>
    <row r="27" spans="1:9" ht="25.5" customHeight="1" x14ac:dyDescent="0.25">
      <c r="A27" s="4" t="s">
        <v>35</v>
      </c>
      <c r="B27" s="3">
        <v>0</v>
      </c>
      <c r="C27" s="3">
        <v>0</v>
      </c>
      <c r="D27" s="3"/>
      <c r="E27" s="8"/>
    </row>
    <row r="28" spans="1:9" s="8" customFormat="1" x14ac:dyDescent="0.25">
      <c r="B28" s="32"/>
      <c r="C28" s="32"/>
      <c r="D28" s="32"/>
      <c r="F28"/>
      <c r="G28"/>
      <c r="H28"/>
      <c r="I28"/>
    </row>
    <row r="29" spans="1:9" s="8" customFormat="1" ht="31.5" customHeight="1" x14ac:dyDescent="0.25">
      <c r="A29" s="111" t="s">
        <v>161</v>
      </c>
      <c r="B29" s="111"/>
      <c r="C29" s="111"/>
    </row>
    <row r="30" spans="1:9" ht="37.5" customHeight="1" x14ac:dyDescent="0.25">
      <c r="A30" s="2" t="s">
        <v>40</v>
      </c>
      <c r="B30" s="2" t="s">
        <v>102</v>
      </c>
      <c r="C30" s="2" t="s">
        <v>103</v>
      </c>
    </row>
    <row r="31" spans="1:9" ht="22.5" customHeight="1" x14ac:dyDescent="0.25">
      <c r="A31" s="4" t="s">
        <v>104</v>
      </c>
      <c r="B31" s="3">
        <v>28</v>
      </c>
      <c r="C31" s="3">
        <v>0</v>
      </c>
    </row>
    <row r="32" spans="1:9" ht="21.75" customHeight="1" x14ac:dyDescent="0.25">
      <c r="A32" s="4" t="s">
        <v>105</v>
      </c>
      <c r="B32" s="3">
        <v>3</v>
      </c>
      <c r="C32" s="3">
        <v>0</v>
      </c>
    </row>
    <row r="33" spans="1:10" ht="26.25" customHeight="1" x14ac:dyDescent="0.25">
      <c r="A33" s="4" t="s">
        <v>106</v>
      </c>
      <c r="B33" s="3">
        <v>0</v>
      </c>
      <c r="C33" s="3">
        <v>0</v>
      </c>
    </row>
    <row r="34" spans="1:10" s="8" customFormat="1" x14ac:dyDescent="0.25"/>
    <row r="35" spans="1:10" s="8" customFormat="1" ht="30" customHeight="1" x14ac:dyDescent="0.25">
      <c r="A35" s="109" t="s">
        <v>162</v>
      </c>
      <c r="B35" s="109"/>
      <c r="C35" s="109"/>
      <c r="D35" s="109"/>
      <c r="E35" s="109"/>
    </row>
    <row r="36" spans="1:10" ht="47.25" x14ac:dyDescent="0.25">
      <c r="A36" s="11" t="s">
        <v>91</v>
      </c>
      <c r="B36" s="2" t="s">
        <v>92</v>
      </c>
      <c r="C36" s="2" t="s">
        <v>93</v>
      </c>
      <c r="D36" s="2" t="s">
        <v>94</v>
      </c>
      <c r="E36" s="2" t="s">
        <v>95</v>
      </c>
    </row>
    <row r="37" spans="1:10" ht="21" customHeight="1" x14ac:dyDescent="0.25">
      <c r="A37" s="19" t="s">
        <v>67</v>
      </c>
      <c r="B37" s="3">
        <v>1</v>
      </c>
      <c r="C37" s="17">
        <v>2</v>
      </c>
      <c r="D37" s="17">
        <v>2</v>
      </c>
      <c r="E37" s="17">
        <v>3</v>
      </c>
      <c r="H37" s="53"/>
      <c r="I37" s="53"/>
      <c r="J37" s="53"/>
    </row>
    <row r="38" spans="1:10" ht="21" customHeight="1" x14ac:dyDescent="0.25">
      <c r="A38" s="19" t="s">
        <v>68</v>
      </c>
      <c r="B38" s="3">
        <v>1</v>
      </c>
      <c r="C38" s="17">
        <v>1</v>
      </c>
      <c r="D38" s="17">
        <v>1</v>
      </c>
      <c r="E38" s="17">
        <v>2</v>
      </c>
      <c r="H38" s="53"/>
      <c r="I38" s="53"/>
      <c r="J38" s="53"/>
    </row>
    <row r="39" spans="1:10" ht="21" customHeight="1" x14ac:dyDescent="0.25">
      <c r="A39" s="19" t="s">
        <v>69</v>
      </c>
      <c r="B39" s="3">
        <v>1</v>
      </c>
      <c r="C39" s="17">
        <v>2</v>
      </c>
      <c r="D39" s="17">
        <v>2</v>
      </c>
      <c r="E39" s="17">
        <v>3</v>
      </c>
      <c r="H39" s="53"/>
      <c r="I39" s="53"/>
      <c r="J39" s="53"/>
    </row>
    <row r="40" spans="1:10" ht="21" customHeight="1" x14ac:dyDescent="0.25">
      <c r="A40" s="19" t="s">
        <v>70</v>
      </c>
      <c r="B40" s="3">
        <v>1</v>
      </c>
      <c r="C40" s="17">
        <v>2</v>
      </c>
      <c r="D40" s="17">
        <v>2</v>
      </c>
      <c r="E40" s="17">
        <v>5</v>
      </c>
      <c r="H40" s="53"/>
      <c r="I40" s="53"/>
      <c r="J40" s="53"/>
    </row>
    <row r="41" spans="1:10" ht="21" customHeight="1" x14ac:dyDescent="0.25">
      <c r="A41" s="19" t="s">
        <v>71</v>
      </c>
      <c r="B41" s="3">
        <v>1</v>
      </c>
      <c r="C41" s="17">
        <v>3</v>
      </c>
      <c r="D41" s="17">
        <v>1</v>
      </c>
      <c r="E41" s="17">
        <v>4</v>
      </c>
      <c r="H41" s="53"/>
      <c r="I41" s="53"/>
      <c r="J41" s="53"/>
    </row>
    <row r="42" spans="1:10" ht="21" customHeight="1" x14ac:dyDescent="0.25">
      <c r="A42" s="19" t="s">
        <v>72</v>
      </c>
      <c r="B42" s="3">
        <v>1</v>
      </c>
      <c r="C42" s="17">
        <v>2</v>
      </c>
      <c r="D42" s="17">
        <v>4</v>
      </c>
      <c r="E42" s="17">
        <v>6</v>
      </c>
      <c r="H42" s="53"/>
      <c r="I42" s="53"/>
      <c r="J42" s="53"/>
    </row>
    <row r="43" spans="1:10" ht="21" customHeight="1" x14ac:dyDescent="0.25">
      <c r="A43" s="19" t="s">
        <v>73</v>
      </c>
      <c r="B43" s="3">
        <v>1</v>
      </c>
      <c r="C43" s="17">
        <v>2</v>
      </c>
      <c r="D43" s="17">
        <v>3</v>
      </c>
      <c r="E43" s="17">
        <v>5</v>
      </c>
      <c r="H43" s="53"/>
      <c r="I43" s="53"/>
      <c r="J43" s="53"/>
    </row>
    <row r="44" spans="1:10" ht="21" customHeight="1" x14ac:dyDescent="0.25">
      <c r="A44" s="19" t="s">
        <v>74</v>
      </c>
      <c r="B44" s="3">
        <v>5</v>
      </c>
      <c r="C44" s="17">
        <v>23</v>
      </c>
      <c r="D44" s="17">
        <v>24</v>
      </c>
      <c r="E44" s="17">
        <v>46</v>
      </c>
      <c r="H44" s="53"/>
      <c r="I44" s="53"/>
      <c r="J44" s="53"/>
    </row>
    <row r="45" spans="1:10" ht="21" customHeight="1" x14ac:dyDescent="0.25">
      <c r="A45" s="19" t="s">
        <v>75</v>
      </c>
      <c r="B45" s="3">
        <v>1</v>
      </c>
      <c r="C45" s="17">
        <v>5</v>
      </c>
      <c r="D45" s="17">
        <v>4</v>
      </c>
      <c r="E45" s="17">
        <v>7</v>
      </c>
      <c r="H45" s="53"/>
      <c r="I45" s="53"/>
      <c r="J45" s="53"/>
    </row>
    <row r="46" spans="1:10" ht="21" customHeight="1" x14ac:dyDescent="0.25">
      <c r="A46" s="19" t="s">
        <v>76</v>
      </c>
      <c r="B46" s="3">
        <v>1</v>
      </c>
      <c r="C46" s="17">
        <v>3</v>
      </c>
      <c r="D46" s="17">
        <v>3</v>
      </c>
      <c r="E46" s="17">
        <v>3</v>
      </c>
      <c r="H46" s="53"/>
      <c r="I46" s="53"/>
      <c r="J46" s="53"/>
    </row>
    <row r="47" spans="1:10" ht="21" customHeight="1" x14ac:dyDescent="0.25">
      <c r="A47" s="19" t="s">
        <v>77</v>
      </c>
      <c r="B47" s="3">
        <v>1</v>
      </c>
      <c r="C47" s="17">
        <v>2</v>
      </c>
      <c r="D47" s="17">
        <v>1</v>
      </c>
      <c r="E47" s="17">
        <v>3</v>
      </c>
      <c r="H47" s="53"/>
      <c r="I47" s="53"/>
      <c r="J47" s="53"/>
    </row>
    <row r="48" spans="1:10" ht="21" customHeight="1" x14ac:dyDescent="0.25">
      <c r="A48" s="19" t="s">
        <v>78</v>
      </c>
      <c r="B48" s="3">
        <v>1</v>
      </c>
      <c r="C48" s="17">
        <v>2</v>
      </c>
      <c r="D48" s="17">
        <v>2</v>
      </c>
      <c r="E48" s="17">
        <v>2</v>
      </c>
      <c r="H48" s="53"/>
      <c r="I48" s="53"/>
      <c r="J48" s="53"/>
    </row>
    <row r="49" spans="1:10" ht="21" customHeight="1" x14ac:dyDescent="0.25">
      <c r="A49" s="19" t="s">
        <v>79</v>
      </c>
      <c r="B49" s="3">
        <v>1</v>
      </c>
      <c r="C49" s="17">
        <v>1</v>
      </c>
      <c r="D49" s="17">
        <v>1</v>
      </c>
      <c r="E49" s="17">
        <v>2</v>
      </c>
      <c r="H49" s="53"/>
      <c r="I49" s="53"/>
      <c r="J49" s="53"/>
    </row>
    <row r="50" spans="1:10" ht="20.25" customHeight="1" x14ac:dyDescent="0.25">
      <c r="A50" s="2" t="s">
        <v>86</v>
      </c>
      <c r="B50" s="2">
        <f>SUM(B37:B49)</f>
        <v>17</v>
      </c>
      <c r="C50" s="2">
        <f>SUM(C37:C49)</f>
        <v>50</v>
      </c>
      <c r="D50" s="2">
        <f>SUM(D37:D49)</f>
        <v>50</v>
      </c>
      <c r="E50" s="2">
        <f>SUM(E37:E49)</f>
        <v>91</v>
      </c>
    </row>
    <row r="53" spans="1:10" x14ac:dyDescent="0.25">
      <c r="B53" s="6"/>
      <c r="C53" s="6"/>
      <c r="D53" s="6"/>
      <c r="E53" s="6"/>
    </row>
  </sheetData>
  <mergeCells count="4">
    <mergeCell ref="A35:E35"/>
    <mergeCell ref="A2:E2"/>
    <mergeCell ref="A19:D19"/>
    <mergeCell ref="A29:C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selection activeCell="A3" sqref="A3:J11"/>
    </sheetView>
  </sheetViews>
  <sheetFormatPr baseColWidth="10" defaultRowHeight="15" x14ac:dyDescent="0.25"/>
  <cols>
    <col min="1" max="1" width="11.85546875" bestFit="1" customWidth="1"/>
    <col min="2" max="2" width="22.28515625" customWidth="1"/>
    <col min="3" max="3" width="17.28515625" customWidth="1"/>
    <col min="4" max="4" width="32.28515625" customWidth="1"/>
    <col min="5" max="5" width="15.28515625" bestFit="1" customWidth="1"/>
    <col min="6" max="6" width="20.42578125" customWidth="1"/>
    <col min="7" max="7" width="13.5703125" bestFit="1" customWidth="1"/>
    <col min="8" max="8" width="23.42578125" bestFit="1" customWidth="1"/>
    <col min="9" max="9" width="12.140625" customWidth="1"/>
    <col min="10" max="10" width="31.42578125" customWidth="1"/>
  </cols>
  <sheetData>
    <row r="1" spans="1:11" s="8" customFormat="1" x14ac:dyDescent="0.25">
      <c r="H1" s="18"/>
      <c r="I1" s="18"/>
      <c r="J1" s="18"/>
      <c r="K1" s="18"/>
    </row>
    <row r="2" spans="1:11" s="8" customFormat="1" ht="31.5" customHeight="1" x14ac:dyDescent="0.25">
      <c r="A2" s="112" t="s">
        <v>123</v>
      </c>
      <c r="B2" s="113"/>
      <c r="C2" s="113"/>
      <c r="D2" s="113"/>
      <c r="E2" s="112"/>
      <c r="F2" s="112"/>
      <c r="G2" s="112"/>
      <c r="H2" s="112"/>
      <c r="I2" s="112"/>
      <c r="J2" s="112"/>
      <c r="K2" s="18"/>
    </row>
    <row r="3" spans="1:11" ht="51.75" customHeight="1" x14ac:dyDescent="0.25">
      <c r="A3" s="86" t="s">
        <v>24</v>
      </c>
      <c r="B3" s="88" t="s">
        <v>151</v>
      </c>
      <c r="C3" s="88" t="s">
        <v>154</v>
      </c>
      <c r="D3" s="88" t="s">
        <v>152</v>
      </c>
      <c r="E3" s="87" t="s">
        <v>141</v>
      </c>
      <c r="F3" s="2" t="s">
        <v>153</v>
      </c>
      <c r="G3" s="2" t="s">
        <v>155</v>
      </c>
      <c r="H3" s="2" t="s">
        <v>148</v>
      </c>
      <c r="I3" s="2" t="s">
        <v>120</v>
      </c>
      <c r="J3" s="2" t="s">
        <v>149</v>
      </c>
      <c r="K3" s="18"/>
    </row>
    <row r="4" spans="1:11" s="44" customFormat="1" ht="25.5" customHeight="1" x14ac:dyDescent="0.25">
      <c r="A4" s="89" t="s">
        <v>126</v>
      </c>
      <c r="B4" s="90">
        <v>0</v>
      </c>
      <c r="C4" s="90">
        <v>10981</v>
      </c>
      <c r="D4" s="90">
        <v>0</v>
      </c>
      <c r="E4" s="91">
        <v>0</v>
      </c>
      <c r="F4" s="91">
        <v>0</v>
      </c>
      <c r="G4" s="91">
        <v>5272</v>
      </c>
      <c r="H4" s="91">
        <v>5276</v>
      </c>
      <c r="I4" s="91">
        <v>5260</v>
      </c>
      <c r="J4" s="91">
        <v>0</v>
      </c>
    </row>
    <row r="5" spans="1:11" s="9" customFormat="1" ht="30.75" customHeight="1" x14ac:dyDescent="0.25">
      <c r="A5" s="89" t="s">
        <v>9</v>
      </c>
      <c r="B5" s="91">
        <v>0</v>
      </c>
      <c r="C5" s="91">
        <v>11276</v>
      </c>
      <c r="D5" s="91">
        <v>0</v>
      </c>
      <c r="E5" s="91">
        <v>3713</v>
      </c>
      <c r="F5" s="91">
        <v>0</v>
      </c>
      <c r="G5" s="91">
        <v>4362</v>
      </c>
      <c r="H5" s="91">
        <v>4368</v>
      </c>
      <c r="I5" s="91">
        <v>4363</v>
      </c>
      <c r="J5" s="91">
        <v>0</v>
      </c>
    </row>
    <row r="6" spans="1:11" s="9" customFormat="1" ht="30.75" customHeight="1" x14ac:dyDescent="0.25">
      <c r="A6" s="89" t="s">
        <v>10</v>
      </c>
      <c r="B6" s="91">
        <v>0</v>
      </c>
      <c r="C6" s="91">
        <v>8773</v>
      </c>
      <c r="D6" s="91">
        <v>0</v>
      </c>
      <c r="E6" s="91">
        <v>8308</v>
      </c>
      <c r="F6" s="91">
        <v>0</v>
      </c>
      <c r="G6" s="91">
        <v>4248</v>
      </c>
      <c r="H6" s="91">
        <v>4196</v>
      </c>
      <c r="I6" s="91">
        <v>4147</v>
      </c>
      <c r="J6" s="91">
        <v>0</v>
      </c>
    </row>
    <row r="7" spans="1:11" s="9" customFormat="1" ht="30.75" customHeight="1" x14ac:dyDescent="0.25">
      <c r="A7" s="89" t="s">
        <v>11</v>
      </c>
      <c r="B7" s="91">
        <v>0</v>
      </c>
      <c r="C7" s="91">
        <v>10355</v>
      </c>
      <c r="D7" s="91">
        <v>0</v>
      </c>
      <c r="E7" s="91">
        <v>9656</v>
      </c>
      <c r="F7" s="91">
        <v>0</v>
      </c>
      <c r="G7" s="91">
        <v>4495</v>
      </c>
      <c r="H7" s="91">
        <v>4473</v>
      </c>
      <c r="I7" s="91">
        <v>4517</v>
      </c>
      <c r="J7" s="91">
        <v>0</v>
      </c>
    </row>
    <row r="8" spans="1:11" s="9" customFormat="1" ht="30.75" customHeight="1" x14ac:dyDescent="0.25">
      <c r="A8" s="89" t="s">
        <v>12</v>
      </c>
      <c r="B8" s="91">
        <v>2238</v>
      </c>
      <c r="C8" s="91">
        <v>8344</v>
      </c>
      <c r="D8" s="91">
        <v>0</v>
      </c>
      <c r="E8" s="91">
        <v>7796</v>
      </c>
      <c r="F8" s="91">
        <v>248</v>
      </c>
      <c r="G8" s="91">
        <v>3865</v>
      </c>
      <c r="H8" s="91">
        <v>3813</v>
      </c>
      <c r="I8" s="91">
        <v>4310</v>
      </c>
      <c r="J8" s="91">
        <v>0</v>
      </c>
    </row>
    <row r="9" spans="1:11" s="9" customFormat="1" ht="30.75" customHeight="1" x14ac:dyDescent="0.25">
      <c r="A9" s="89" t="s">
        <v>13</v>
      </c>
      <c r="B9" s="91">
        <v>21604</v>
      </c>
      <c r="C9" s="91">
        <v>6420</v>
      </c>
      <c r="D9" s="91">
        <v>0</v>
      </c>
      <c r="E9" s="91">
        <v>2746</v>
      </c>
      <c r="F9" s="91">
        <v>2946</v>
      </c>
      <c r="G9" s="91">
        <v>2616</v>
      </c>
      <c r="H9" s="91">
        <v>2614</v>
      </c>
      <c r="I9" s="91">
        <v>2597</v>
      </c>
      <c r="J9" s="91">
        <v>0</v>
      </c>
    </row>
    <row r="10" spans="1:11" s="9" customFormat="1" ht="30.75" customHeight="1" x14ac:dyDescent="0.25">
      <c r="A10" s="89" t="s">
        <v>14</v>
      </c>
      <c r="B10" s="91">
        <v>21587</v>
      </c>
      <c r="C10" s="91">
        <v>5853</v>
      </c>
      <c r="D10" s="91">
        <v>2578</v>
      </c>
      <c r="E10" s="91">
        <v>3062</v>
      </c>
      <c r="F10" s="91">
        <v>0</v>
      </c>
      <c r="G10" s="91">
        <v>3006</v>
      </c>
      <c r="H10" s="91">
        <v>2966</v>
      </c>
      <c r="I10" s="91">
        <v>2990</v>
      </c>
      <c r="J10" s="91">
        <v>0</v>
      </c>
    </row>
    <row r="11" spans="1:11" s="9" customFormat="1" ht="30.75" customHeight="1" x14ac:dyDescent="0.25">
      <c r="A11" s="89" t="s">
        <v>15</v>
      </c>
      <c r="B11" s="91">
        <v>14281</v>
      </c>
      <c r="C11" s="91">
        <v>3227</v>
      </c>
      <c r="D11" s="91">
        <v>2957</v>
      </c>
      <c r="E11" s="91">
        <v>2591</v>
      </c>
      <c r="F11" s="91">
        <v>0</v>
      </c>
      <c r="G11" s="91">
        <v>2558</v>
      </c>
      <c r="H11" s="91">
        <v>2573</v>
      </c>
      <c r="I11" s="91">
        <v>2527</v>
      </c>
      <c r="J11" s="91">
        <v>0</v>
      </c>
    </row>
    <row r="12" spans="1:11" s="9" customFormat="1" ht="30.75" customHeight="1" x14ac:dyDescent="0.25">
      <c r="A12" s="84"/>
      <c r="B12" s="85"/>
      <c r="C12" s="85"/>
      <c r="D12" s="85"/>
      <c r="E12" s="85"/>
      <c r="F12" s="85"/>
      <c r="G12" s="85"/>
      <c r="H12" s="85"/>
      <c r="I12" s="85"/>
      <c r="J12" s="85"/>
    </row>
    <row r="13" spans="1:11" s="9" customFormat="1" ht="27.75" customHeight="1" x14ac:dyDescent="0.25">
      <c r="A13" s="54" t="s">
        <v>150</v>
      </c>
      <c r="B13" s="74">
        <f>SUM(B4:B11)</f>
        <v>59710</v>
      </c>
      <c r="C13" s="74">
        <f t="shared" ref="C13:I13" si="0">SUM(C4:C11)</f>
        <v>65229</v>
      </c>
      <c r="D13" s="74">
        <f t="shared" si="0"/>
        <v>5535</v>
      </c>
      <c r="E13" s="74">
        <f t="shared" si="0"/>
        <v>37872</v>
      </c>
      <c r="F13" s="74">
        <f t="shared" si="0"/>
        <v>3194</v>
      </c>
      <c r="G13" s="74">
        <f t="shared" si="0"/>
        <v>30422</v>
      </c>
      <c r="H13" s="74">
        <f t="shared" si="0"/>
        <v>30279</v>
      </c>
      <c r="I13" s="74">
        <f t="shared" si="0"/>
        <v>30711</v>
      </c>
      <c r="J13" s="74">
        <v>0</v>
      </c>
    </row>
    <row r="14" spans="1:11" s="9" customFormat="1" ht="21" customHeight="1" x14ac:dyDescent="0.25">
      <c r="A14" s="42"/>
      <c r="B14" s="45"/>
      <c r="C14" s="45"/>
      <c r="D14" s="45"/>
      <c r="E14" s="45"/>
      <c r="F14" s="45"/>
      <c r="G14" s="45"/>
    </row>
    <row r="15" spans="1:11" x14ac:dyDescent="0.25">
      <c r="A15" s="42"/>
      <c r="B15" s="45"/>
      <c r="C15" s="45"/>
      <c r="D15" s="45"/>
      <c r="E15" s="45"/>
      <c r="F15" s="45"/>
      <c r="G15" s="45"/>
    </row>
  </sheetData>
  <mergeCells count="1">
    <mergeCell ref="A2:J2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topLeftCell="A10" workbookViewId="0">
      <selection activeCell="F6" sqref="F6"/>
    </sheetView>
  </sheetViews>
  <sheetFormatPr baseColWidth="10" defaultRowHeight="15" x14ac:dyDescent="0.25"/>
  <cols>
    <col min="1" max="1" width="3.85546875" customWidth="1"/>
    <col min="2" max="2" width="18.5703125" customWidth="1"/>
    <col min="3" max="3" width="14.7109375" bestFit="1" customWidth="1"/>
    <col min="4" max="4" width="22.28515625" customWidth="1"/>
    <col min="5" max="5" width="22.42578125" customWidth="1"/>
    <col min="6" max="6" width="37.28515625" customWidth="1"/>
  </cols>
  <sheetData>
    <row r="1" spans="1:9" ht="25.5" customHeight="1" x14ac:dyDescent="0.25">
      <c r="A1" s="114" t="s">
        <v>124</v>
      </c>
      <c r="B1" s="114"/>
      <c r="C1" s="114"/>
      <c r="D1" s="114"/>
      <c r="E1" s="114"/>
      <c r="F1" s="8"/>
    </row>
    <row r="2" spans="1:9" ht="46.5" customHeight="1" x14ac:dyDescent="0.25">
      <c r="A2" s="5" t="s">
        <v>80</v>
      </c>
      <c r="B2" s="5" t="s">
        <v>81</v>
      </c>
      <c r="C2" s="5" t="s">
        <v>82</v>
      </c>
      <c r="D2" s="5" t="s">
        <v>83</v>
      </c>
      <c r="E2" s="5" t="s">
        <v>98</v>
      </c>
      <c r="F2" s="8"/>
      <c r="I2" s="29"/>
    </row>
    <row r="3" spans="1:9" s="32" customFormat="1" ht="22.5" customHeight="1" x14ac:dyDescent="0.25">
      <c r="A3" s="30">
        <v>1</v>
      </c>
      <c r="B3" s="16" t="s">
        <v>67</v>
      </c>
      <c r="C3" s="31">
        <v>9</v>
      </c>
      <c r="D3" s="52">
        <v>58</v>
      </c>
      <c r="E3" s="78">
        <v>9</v>
      </c>
    </row>
    <row r="4" spans="1:9" s="32" customFormat="1" ht="22.5" customHeight="1" x14ac:dyDescent="0.25">
      <c r="A4" s="30">
        <v>2</v>
      </c>
      <c r="B4" s="16" t="s">
        <v>68</v>
      </c>
      <c r="C4" s="31">
        <v>8</v>
      </c>
      <c r="D4" s="52">
        <v>37</v>
      </c>
      <c r="E4" s="78">
        <v>8</v>
      </c>
    </row>
    <row r="5" spans="1:9" s="32" customFormat="1" ht="22.5" customHeight="1" x14ac:dyDescent="0.25">
      <c r="A5" s="30">
        <v>3</v>
      </c>
      <c r="B5" s="16" t="s">
        <v>69</v>
      </c>
      <c r="C5" s="31">
        <v>10</v>
      </c>
      <c r="D5" s="52">
        <v>67</v>
      </c>
      <c r="E5" s="78">
        <v>8</v>
      </c>
    </row>
    <row r="6" spans="1:9" s="32" customFormat="1" ht="22.5" customHeight="1" x14ac:dyDescent="0.25">
      <c r="A6" s="30">
        <v>4</v>
      </c>
      <c r="B6" s="16" t="s">
        <v>70</v>
      </c>
      <c r="C6" s="31">
        <v>15</v>
      </c>
      <c r="D6" s="52">
        <v>88</v>
      </c>
      <c r="E6" s="78">
        <v>14</v>
      </c>
    </row>
    <row r="7" spans="1:9" s="32" customFormat="1" ht="22.5" customHeight="1" x14ac:dyDescent="0.25">
      <c r="A7" s="30">
        <v>5</v>
      </c>
      <c r="B7" s="16" t="s">
        <v>71</v>
      </c>
      <c r="C7" s="31">
        <v>7</v>
      </c>
      <c r="D7" s="52">
        <v>62</v>
      </c>
      <c r="E7" s="78">
        <v>7</v>
      </c>
    </row>
    <row r="8" spans="1:9" s="32" customFormat="1" ht="22.5" customHeight="1" x14ac:dyDescent="0.25">
      <c r="A8" s="30">
        <v>6</v>
      </c>
      <c r="B8" s="16" t="s">
        <v>72</v>
      </c>
      <c r="C8" s="31">
        <v>9</v>
      </c>
      <c r="D8" s="52">
        <v>91</v>
      </c>
      <c r="E8" s="78">
        <v>9</v>
      </c>
    </row>
    <row r="9" spans="1:9" s="32" customFormat="1" ht="22.5" customHeight="1" x14ac:dyDescent="0.25">
      <c r="A9" s="30">
        <v>7</v>
      </c>
      <c r="B9" s="16" t="s">
        <v>73</v>
      </c>
      <c r="C9" s="31">
        <v>12</v>
      </c>
      <c r="D9" s="52">
        <v>87</v>
      </c>
      <c r="E9" s="78">
        <v>12</v>
      </c>
    </row>
    <row r="10" spans="1:9" s="32" customFormat="1" ht="22.5" customHeight="1" x14ac:dyDescent="0.25">
      <c r="A10" s="30">
        <v>8</v>
      </c>
      <c r="B10" s="16" t="s">
        <v>74</v>
      </c>
      <c r="C10" s="31">
        <v>90</v>
      </c>
      <c r="D10" s="52">
        <v>638</v>
      </c>
      <c r="E10" s="78">
        <v>90</v>
      </c>
    </row>
    <row r="11" spans="1:9" s="32" customFormat="1" ht="22.5" customHeight="1" x14ac:dyDescent="0.25">
      <c r="A11" s="30">
        <v>9</v>
      </c>
      <c r="B11" s="16" t="s">
        <v>75</v>
      </c>
      <c r="C11" s="31">
        <v>12</v>
      </c>
      <c r="D11" s="52">
        <v>77</v>
      </c>
      <c r="E11" s="78">
        <v>12</v>
      </c>
    </row>
    <row r="12" spans="1:9" s="32" customFormat="1" ht="22.5" customHeight="1" x14ac:dyDescent="0.25">
      <c r="A12" s="30">
        <v>10</v>
      </c>
      <c r="B12" s="16" t="s">
        <v>84</v>
      </c>
      <c r="C12" s="31">
        <v>6</v>
      </c>
      <c r="D12" s="52">
        <v>45</v>
      </c>
      <c r="E12" s="78">
        <v>6</v>
      </c>
    </row>
    <row r="13" spans="1:9" s="32" customFormat="1" ht="22.5" customHeight="1" x14ac:dyDescent="0.25">
      <c r="A13" s="30">
        <v>11</v>
      </c>
      <c r="B13" s="16" t="s">
        <v>77</v>
      </c>
      <c r="C13" s="31">
        <v>4</v>
      </c>
      <c r="D13" s="52">
        <v>22</v>
      </c>
      <c r="E13" s="78">
        <v>3</v>
      </c>
    </row>
    <row r="14" spans="1:9" s="32" customFormat="1" ht="22.5" customHeight="1" x14ac:dyDescent="0.25">
      <c r="A14" s="30">
        <v>12</v>
      </c>
      <c r="B14" s="16" t="s">
        <v>85</v>
      </c>
      <c r="C14" s="31">
        <v>10</v>
      </c>
      <c r="D14" s="52">
        <v>53</v>
      </c>
      <c r="E14" s="78">
        <v>10</v>
      </c>
    </row>
    <row r="15" spans="1:9" s="32" customFormat="1" ht="22.5" customHeight="1" x14ac:dyDescent="0.25">
      <c r="A15" s="30">
        <v>13</v>
      </c>
      <c r="B15" s="16" t="s">
        <v>79</v>
      </c>
      <c r="C15" s="31">
        <v>7</v>
      </c>
      <c r="D15" s="52">
        <v>36</v>
      </c>
      <c r="E15" s="78">
        <v>7</v>
      </c>
    </row>
    <row r="16" spans="1:9" ht="18" x14ac:dyDescent="0.25">
      <c r="A16" s="115" t="s">
        <v>86</v>
      </c>
      <c r="B16" s="116"/>
      <c r="C16" s="7">
        <f>SUM(C3:C15)</f>
        <v>199</v>
      </c>
      <c r="D16" s="79">
        <f>SUM(D3:D15)</f>
        <v>1361</v>
      </c>
      <c r="E16" s="7">
        <f>SUM(E3:E15)</f>
        <v>195</v>
      </c>
      <c r="F16" s="8"/>
    </row>
    <row r="17" spans="1:6" x14ac:dyDescent="0.25">
      <c r="A17" s="8"/>
      <c r="B17" s="8"/>
      <c r="C17" s="8"/>
      <c r="D17" s="8"/>
      <c r="E17" s="8"/>
      <c r="F17" s="8"/>
    </row>
    <row r="18" spans="1:6" ht="138.75" customHeight="1" x14ac:dyDescent="0.25">
      <c r="A18" s="117" t="s">
        <v>144</v>
      </c>
      <c r="B18" s="117"/>
      <c r="C18" s="117"/>
      <c r="D18" s="117"/>
      <c r="E18" s="117"/>
      <c r="F18" s="8"/>
    </row>
  </sheetData>
  <mergeCells count="3">
    <mergeCell ref="A1:E1"/>
    <mergeCell ref="A16:B16"/>
    <mergeCell ref="A18:E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J6" sqref="J6"/>
    </sheetView>
  </sheetViews>
  <sheetFormatPr baseColWidth="10" defaultRowHeight="15" x14ac:dyDescent="0.25"/>
  <cols>
    <col min="1" max="1" width="45" customWidth="1"/>
    <col min="2" max="2" width="13" bestFit="1" customWidth="1"/>
    <col min="3" max="3" width="15.5703125" customWidth="1"/>
    <col min="4" max="4" width="16" customWidth="1"/>
    <col min="5" max="5" width="15.140625" customWidth="1"/>
    <col min="6" max="6" width="14" customWidth="1"/>
    <col min="7" max="7" width="25.42578125" customWidth="1"/>
  </cols>
  <sheetData>
    <row r="1" spans="1:11" s="8" customFormat="1" x14ac:dyDescent="0.25"/>
    <row r="2" spans="1:11" ht="27" customHeight="1" x14ac:dyDescent="0.25">
      <c r="A2" s="106" t="s">
        <v>163</v>
      </c>
      <c r="B2" s="106"/>
      <c r="C2" s="106"/>
      <c r="D2" s="106"/>
      <c r="E2" s="106"/>
      <c r="F2" s="106"/>
      <c r="G2" s="106"/>
    </row>
    <row r="3" spans="1:11" ht="31.5" x14ac:dyDescent="0.25">
      <c r="A3" s="71" t="s">
        <v>55</v>
      </c>
      <c r="B3" s="71" t="s">
        <v>56</v>
      </c>
      <c r="C3" s="72" t="s">
        <v>50</v>
      </c>
      <c r="D3" s="71" t="s">
        <v>51</v>
      </c>
      <c r="E3" s="71" t="s">
        <v>52</v>
      </c>
      <c r="F3" s="72" t="s">
        <v>53</v>
      </c>
      <c r="G3" s="71" t="s">
        <v>54</v>
      </c>
      <c r="H3" s="1"/>
      <c r="I3" s="1"/>
      <c r="J3" s="1"/>
      <c r="K3" s="1"/>
    </row>
    <row r="4" spans="1:11" ht="75" x14ac:dyDescent="0.25">
      <c r="A4" s="57" t="s">
        <v>164</v>
      </c>
      <c r="B4" s="17" t="s">
        <v>145</v>
      </c>
      <c r="C4" s="52">
        <v>0</v>
      </c>
      <c r="D4" s="52">
        <v>1</v>
      </c>
      <c r="E4" s="52">
        <v>2</v>
      </c>
      <c r="F4" s="52">
        <v>2</v>
      </c>
      <c r="G4" s="52">
        <v>0</v>
      </c>
      <c r="H4" s="1"/>
      <c r="I4" s="1"/>
      <c r="J4" s="1"/>
      <c r="K4" s="1"/>
    </row>
    <row r="5" spans="1:11" ht="60" x14ac:dyDescent="0.25">
      <c r="A5" s="57" t="s">
        <v>165</v>
      </c>
      <c r="B5" s="17" t="s">
        <v>145</v>
      </c>
      <c r="C5" s="52">
        <v>0</v>
      </c>
      <c r="D5" s="52">
        <v>1</v>
      </c>
      <c r="E5" s="52">
        <v>2</v>
      </c>
      <c r="F5" s="52">
        <v>2</v>
      </c>
      <c r="G5" s="52">
        <v>0</v>
      </c>
      <c r="H5" s="1"/>
      <c r="I5" s="1"/>
      <c r="J5" s="1"/>
      <c r="K5" s="1"/>
    </row>
    <row r="6" spans="1:11" ht="75" x14ac:dyDescent="0.25">
      <c r="A6" s="57" t="s">
        <v>166</v>
      </c>
      <c r="B6" s="17" t="s">
        <v>145</v>
      </c>
      <c r="C6" s="52">
        <v>0</v>
      </c>
      <c r="D6" s="52">
        <v>1</v>
      </c>
      <c r="E6" s="52">
        <v>2</v>
      </c>
      <c r="F6" s="52">
        <v>2</v>
      </c>
      <c r="G6" s="52">
        <v>1</v>
      </c>
      <c r="H6" s="1"/>
      <c r="I6" s="1"/>
      <c r="J6" s="1"/>
      <c r="K6" s="1"/>
    </row>
    <row r="7" spans="1:11" ht="45" x14ac:dyDescent="0.25">
      <c r="A7" s="57" t="s">
        <v>167</v>
      </c>
      <c r="B7" s="17" t="s">
        <v>145</v>
      </c>
      <c r="C7" s="52">
        <v>34</v>
      </c>
      <c r="D7" s="52">
        <v>0</v>
      </c>
      <c r="E7" s="52">
        <v>0</v>
      </c>
      <c r="F7" s="52">
        <v>0</v>
      </c>
      <c r="G7" s="52">
        <v>0</v>
      </c>
      <c r="H7" s="1"/>
      <c r="I7" s="1"/>
      <c r="J7" s="1"/>
      <c r="K7" s="1"/>
    </row>
    <row r="8" spans="1:11" ht="30" x14ac:dyDescent="0.25">
      <c r="A8" s="57" t="s">
        <v>168</v>
      </c>
      <c r="B8" s="17" t="s">
        <v>145</v>
      </c>
      <c r="C8" s="52">
        <v>30</v>
      </c>
      <c r="D8" s="52">
        <v>0</v>
      </c>
      <c r="E8" s="52">
        <v>0</v>
      </c>
      <c r="F8" s="52">
        <v>0</v>
      </c>
      <c r="G8" s="52">
        <v>0</v>
      </c>
      <c r="H8" s="1"/>
      <c r="I8" s="1"/>
      <c r="J8" s="1"/>
      <c r="K8" s="1"/>
    </row>
    <row r="9" spans="1:11" ht="30" x14ac:dyDescent="0.25">
      <c r="A9" s="57" t="s">
        <v>169</v>
      </c>
      <c r="B9" s="17" t="s">
        <v>145</v>
      </c>
      <c r="C9" s="52">
        <v>32</v>
      </c>
      <c r="D9" s="52">
        <v>0</v>
      </c>
      <c r="E9" s="52">
        <v>0</v>
      </c>
      <c r="F9" s="52">
        <v>0</v>
      </c>
      <c r="G9" s="52">
        <v>0</v>
      </c>
      <c r="H9" s="1"/>
      <c r="I9" s="1"/>
      <c r="J9" s="1"/>
      <c r="K9" s="1"/>
    </row>
    <row r="10" spans="1:11" ht="30" x14ac:dyDescent="0.25">
      <c r="A10" s="57" t="s">
        <v>170</v>
      </c>
      <c r="B10" s="17" t="s">
        <v>145</v>
      </c>
      <c r="C10" s="52">
        <v>33</v>
      </c>
      <c r="D10" s="52">
        <v>0</v>
      </c>
      <c r="E10" s="52">
        <v>0</v>
      </c>
      <c r="F10" s="52">
        <v>0</v>
      </c>
      <c r="G10" s="52">
        <v>0</v>
      </c>
      <c r="H10" s="1"/>
      <c r="I10" s="1"/>
      <c r="J10" s="1"/>
      <c r="K10" s="1"/>
    </row>
    <row r="11" spans="1:11" ht="22.5" customHeight="1" x14ac:dyDescent="0.25">
      <c r="A11" s="73"/>
      <c r="B11" s="93" t="s">
        <v>86</v>
      </c>
      <c r="C11" s="94">
        <f>SUM(C4:C10)</f>
        <v>129</v>
      </c>
      <c r="D11" s="94">
        <f>SUM(D4:D10)</f>
        <v>3</v>
      </c>
      <c r="E11" s="94">
        <f>SUM(E4:E10)</f>
        <v>6</v>
      </c>
      <c r="F11" s="94">
        <f>SUM(F4:F10)</f>
        <v>6</v>
      </c>
      <c r="G11" s="94">
        <f>SUM(G4:G10)</f>
        <v>1</v>
      </c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zoomScale="115" zoomScaleNormal="115" workbookViewId="0">
      <selection activeCell="D14" sqref="D14"/>
    </sheetView>
  </sheetViews>
  <sheetFormatPr baseColWidth="10" defaultRowHeight="15" x14ac:dyDescent="0.25"/>
  <cols>
    <col min="1" max="1" width="15.140625" customWidth="1"/>
    <col min="2" max="2" width="20.7109375" customWidth="1"/>
    <col min="3" max="3" width="35.28515625" customWidth="1"/>
    <col min="4" max="4" width="44" customWidth="1"/>
    <col min="5" max="5" width="17.7109375" customWidth="1"/>
    <col min="6" max="6" width="13.42578125" style="58" customWidth="1"/>
  </cols>
  <sheetData>
    <row r="1" spans="1:6" s="8" customFormat="1" x14ac:dyDescent="0.25">
      <c r="F1" s="53"/>
    </row>
    <row r="2" spans="1:6" s="8" customFormat="1" ht="27.75" customHeight="1" x14ac:dyDescent="0.25">
      <c r="A2" s="118" t="s">
        <v>157</v>
      </c>
      <c r="B2" s="118"/>
      <c r="C2" s="118"/>
      <c r="D2" s="118"/>
      <c r="E2" s="118"/>
      <c r="F2" s="118"/>
    </row>
    <row r="3" spans="1:6" ht="30" x14ac:dyDescent="0.25">
      <c r="A3" s="10" t="s">
        <v>62</v>
      </c>
      <c r="B3" s="10" t="s">
        <v>57</v>
      </c>
      <c r="C3" s="10" t="s">
        <v>60</v>
      </c>
      <c r="D3" s="56" t="s">
        <v>61</v>
      </c>
      <c r="E3" s="10" t="s">
        <v>59</v>
      </c>
      <c r="F3" s="10" t="s">
        <v>58</v>
      </c>
    </row>
    <row r="4" spans="1:6" ht="60" x14ac:dyDescent="0.25">
      <c r="A4" s="80" t="s">
        <v>142</v>
      </c>
      <c r="B4" s="80" t="s">
        <v>146</v>
      </c>
      <c r="C4" s="80" t="s">
        <v>147</v>
      </c>
      <c r="D4" s="80" t="s">
        <v>156</v>
      </c>
      <c r="E4" s="17">
        <v>6</v>
      </c>
      <c r="F4" s="81">
        <v>46245</v>
      </c>
    </row>
    <row r="5" spans="1:6" ht="36" customHeight="1" x14ac:dyDescent="0.25"/>
  </sheetData>
  <mergeCells count="1">
    <mergeCell ref="A2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1" width="30.7109375" customWidth="1"/>
    <col min="2" max="2" width="27.28515625" customWidth="1"/>
  </cols>
  <sheetData>
    <row r="1" spans="1:2" x14ac:dyDescent="0.25">
      <c r="A1" s="8"/>
      <c r="B1" s="8"/>
    </row>
    <row r="2" spans="1:2" s="12" customFormat="1" ht="21" customHeight="1" x14ac:dyDescent="0.25">
      <c r="A2" s="119" t="s">
        <v>125</v>
      </c>
      <c r="B2" s="119"/>
    </row>
    <row r="3" spans="1:2" ht="24.75" customHeight="1" x14ac:dyDescent="0.25">
      <c r="A3" s="11" t="s">
        <v>42</v>
      </c>
      <c r="B3" s="11" t="s">
        <v>41</v>
      </c>
    </row>
    <row r="4" spans="1:2" s="6" customFormat="1" ht="21.75" customHeight="1" x14ac:dyDescent="0.25">
      <c r="A4" s="16" t="s">
        <v>43</v>
      </c>
      <c r="B4" s="17">
        <v>39</v>
      </c>
    </row>
    <row r="5" spans="1:2" s="6" customFormat="1" ht="21" customHeight="1" x14ac:dyDescent="0.25">
      <c r="A5" s="16" t="s">
        <v>44</v>
      </c>
      <c r="B5" s="17">
        <v>5</v>
      </c>
    </row>
    <row r="6" spans="1:2" s="6" customFormat="1" ht="21" customHeight="1" x14ac:dyDescent="0.25">
      <c r="A6" s="16" t="s">
        <v>47</v>
      </c>
      <c r="B6" s="17">
        <v>0</v>
      </c>
    </row>
    <row r="7" spans="1:2" s="6" customFormat="1" ht="21.75" customHeight="1" x14ac:dyDescent="0.25">
      <c r="A7" s="16" t="s">
        <v>45</v>
      </c>
      <c r="B7" s="17">
        <v>0</v>
      </c>
    </row>
    <row r="8" spans="1:2" s="6" customFormat="1" ht="19.5" customHeight="1" x14ac:dyDescent="0.25">
      <c r="A8" s="16" t="s">
        <v>46</v>
      </c>
      <c r="B8" s="17">
        <v>10</v>
      </c>
    </row>
    <row r="9" spans="1:2" s="6" customFormat="1" ht="20.25" customHeight="1" x14ac:dyDescent="0.25">
      <c r="A9" s="16" t="s">
        <v>87</v>
      </c>
      <c r="B9" s="17">
        <v>0</v>
      </c>
    </row>
    <row r="10" spans="1:2" s="6" customFormat="1" ht="23.25" customHeight="1" x14ac:dyDescent="0.25">
      <c r="A10" s="16" t="s">
        <v>88</v>
      </c>
      <c r="B10" s="17">
        <v>0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LA 1.Estadísticas Sociales</vt:lpstr>
      <vt:lpstr>LA 2.Estadísticas Demográficas</vt:lpstr>
      <vt:lpstr>LA 3.Estadísticas Económicas</vt:lpstr>
      <vt:lpstr>LA 4.Estructura SEGEN</vt:lpstr>
      <vt:lpstr>LA 5.Encuestas en el SEGEN</vt:lpstr>
      <vt:lpstr>LA 6.Circuitos Comunales</vt:lpstr>
      <vt:lpstr>LA 8.Capacitacion</vt:lpstr>
      <vt:lpstr>LA 9. Comites Estadales</vt:lpstr>
      <vt:lpstr>LA 10.Gerencia Estadal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INE-MONAGAS</cp:lastModifiedBy>
  <dcterms:created xsi:type="dcterms:W3CDTF">2024-11-25T15:56:29Z</dcterms:created>
  <dcterms:modified xsi:type="dcterms:W3CDTF">2026-09-03T12:19:24Z</dcterms:modified>
</cp:coreProperties>
</file>